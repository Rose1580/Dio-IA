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lanilha1" sheetId="1" state="visible" r:id="rId3"/>
    <sheet name="Planilha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<sst xmlns="http://schemas.openxmlformats.org/spreadsheetml/2006/main" count="27" uniqueCount="27">
  <si>
    <t xml:space="preserve">Parâmetros</t>
  </si>
  <si>
    <t xml:space="preserve">Valor Inicial</t>
  </si>
  <si>
    <t xml:space="preserve">Aporte mensal</t>
  </si>
  <si>
    <t xml:space="preserve">Taxa de rendimento</t>
  </si>
  <si>
    <t xml:space="preserve">Taxa de dividendos</t>
  </si>
  <si>
    <t xml:space="preserve">Período (anos)</t>
  </si>
  <si>
    <t xml:space="preserve">Resultados</t>
  </si>
  <si>
    <t xml:space="preserve">Total Investido</t>
  </si>
  <si>
    <t xml:space="preserve">Patrimônio final</t>
  </si>
  <si>
    <t xml:space="preserve">Total Dividendos</t>
  </si>
  <si>
    <t xml:space="preserve">Simulação Mês a Mês</t>
  </si>
  <si>
    <t xml:space="preserve">Mês</t>
  </si>
  <si>
    <t xml:space="preserve">Patrimônio</t>
  </si>
  <si>
    <t xml:space="preserve">Aporte</t>
  </si>
  <si>
    <t xml:space="preserve">Rendimento</t>
  </si>
  <si>
    <t xml:space="preserve">Dividendos</t>
  </si>
  <si>
    <t xml:space="preserve">Aporte Inicial (R$) </t>
  </si>
  <si>
    <t xml:space="preserve">Aporte Mensal (R$) </t>
  </si>
  <si>
    <t xml:space="preserve">Taxa de Rendimento Mensal (%) </t>
  </si>
  <si>
    <t xml:space="preserve">Período (Meses) </t>
  </si>
  <si>
    <t xml:space="preserve">Patrimônio Final Estimado </t>
  </si>
  <si>
    <t xml:space="preserve">Mês </t>
  </si>
  <si>
    <t xml:space="preserve">Saldo Inicial </t>
  </si>
  <si>
    <t xml:space="preserve">Rendimento (Dividendos)</t>
  </si>
  <si>
    <t xml:space="preserve">Aporte </t>
  </si>
  <si>
    <t xml:space="preserve">Saldo Final </t>
  </si>
  <si>
    <t xml:space="preserve">Independência? 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</si>
</sst>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[$R$-416]\ #,##0.00;[RED]\-[$R$-416]\ #,##0.00"/>
    <numFmt numFmtId="166" formatCode="0.00%"/>
    <numFmt numFmtId="167" formatCode="[$R$-416]\ #,##0.00;[RED]\-[$R$-416]\ #,##0.00"/>
    <numFmt numFmtId="168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4C7DC"/>
        <bgColor rgb="FFCCCCCC"/>
      </patternFill>
    </fill>
    <fill>
      <patternFill patternType="solid">
        <fgColor rgb="FFCCCCCC"/>
        <bgColor rgb="FFB4C7D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4C7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7" activeCellId="0" sqref="H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0.31"/>
    <col collapsed="false" customWidth="true" hidden="false" outlineLevel="0" max="2" min="2" style="0" width="20.58"/>
    <col collapsed="false" customWidth="true" hidden="false" outlineLevel="0" max="4" min="4" style="0" width="17.8"/>
    <col collapsed="false" customWidth="true" hidden="false" outlineLevel="0" max="5" min="5" style="0" width="23.65"/>
  </cols>
  <sheetData>
    <row r="1" customFormat="false" ht="12.8" hidden="false" customHeight="false" outlineLevel="0" collapsed="false">
      <c r="A1" s="1" t="s">
        <v>0</v>
      </c>
      <c r="B1" s="1"/>
      <c r="C1" s="2"/>
      <c r="D1" s="2"/>
      <c r="E1" s="2"/>
    </row>
    <row r="2" customFormat="false" ht="12.8" hidden="false" customHeight="false" outlineLevel="0" collapsed="false">
      <c r="A2" s="3" t="s">
        <v>1</v>
      </c>
      <c r="B2" s="4" t="n">
        <v>5000</v>
      </c>
      <c r="C2" s="2"/>
      <c r="D2" s="2"/>
      <c r="E2" s="2"/>
    </row>
    <row r="3" customFormat="false" ht="12.8" hidden="false" customHeight="false" outlineLevel="0" collapsed="false">
      <c r="A3" s="3" t="s">
        <v>2</v>
      </c>
      <c r="B3" s="4" t="n">
        <v>500</v>
      </c>
      <c r="C3" s="2"/>
      <c r="D3" s="2"/>
      <c r="E3" s="2"/>
    </row>
    <row r="4" customFormat="false" ht="12.8" hidden="false" customHeight="false" outlineLevel="0" collapsed="false">
      <c r="A4" s="3" t="s">
        <v>3</v>
      </c>
      <c r="B4" s="5" t="n">
        <v>0.0085</v>
      </c>
      <c r="C4" s="2"/>
      <c r="D4" s="2"/>
      <c r="E4" s="2"/>
    </row>
    <row r="5" customFormat="false" ht="12.8" hidden="false" customHeight="false" outlineLevel="0" collapsed="false">
      <c r="A5" s="3" t="s">
        <v>4</v>
      </c>
      <c r="B5" s="5" t="n">
        <v>0.0065</v>
      </c>
      <c r="C5" s="2"/>
      <c r="D5" s="2"/>
      <c r="E5" s="2"/>
    </row>
    <row r="6" customFormat="false" ht="12.8" hidden="false" customHeight="false" outlineLevel="0" collapsed="false">
      <c r="A6" s="3" t="s">
        <v>5</v>
      </c>
      <c r="B6" s="6" t="n">
        <v>8</v>
      </c>
      <c r="C6" s="2"/>
      <c r="D6" s="2"/>
      <c r="E6" s="2"/>
    </row>
    <row r="7" customFormat="false" ht="12.8" hidden="false" customHeight="false" outlineLevel="0" collapsed="false">
      <c r="A7" s="1" t="s">
        <v>6</v>
      </c>
      <c r="B7" s="1"/>
      <c r="C7" s="2"/>
      <c r="D7" s="2"/>
      <c r="E7" s="2"/>
    </row>
    <row r="8" customFormat="false" ht="12.8" hidden="false" customHeight="false" outlineLevel="0" collapsed="false">
      <c r="A8" s="3" t="s">
        <v>7</v>
      </c>
      <c r="B8" s="7" t="n">
        <f aca="false">B2 + (B3*B6*12)</f>
        <v>53000</v>
      </c>
      <c r="C8" s="2"/>
      <c r="D8" s="2"/>
      <c r="E8" s="2"/>
    </row>
    <row r="9" customFormat="false" ht="12.8" hidden="false" customHeight="false" outlineLevel="0" collapsed="false">
      <c r="A9" s="3" t="s">
        <v>8</v>
      </c>
      <c r="B9" s="8" t="n">
        <f aca="false">INDEX(B:B,96+13)</f>
        <v>0</v>
      </c>
      <c r="C9" s="2"/>
      <c r="D9" s="2"/>
      <c r="E9" s="2"/>
    </row>
    <row r="10" customFormat="false" ht="12.8" hidden="false" customHeight="false" outlineLevel="0" collapsed="false">
      <c r="A10" s="3" t="s">
        <v>9</v>
      </c>
      <c r="B10" s="8" t="n">
        <f aca="false">SUM(E13:E372)</f>
        <v>697.887545916521</v>
      </c>
      <c r="C10" s="2"/>
      <c r="D10" s="2"/>
      <c r="E10" s="2"/>
    </row>
    <row r="11" customFormat="false" ht="33.55" hidden="false" customHeight="true" outlineLevel="0" collapsed="false">
      <c r="A11" s="9" t="s">
        <v>10</v>
      </c>
      <c r="B11" s="2"/>
      <c r="C11" s="2"/>
      <c r="D11" s="2"/>
      <c r="E11" s="2"/>
    </row>
    <row r="12" customFormat="false" ht="12.8" hidden="false" customHeight="false" outlineLevel="0" collapsed="false">
      <c r="A12" s="10" t="s">
        <v>11</v>
      </c>
      <c r="B12" s="11" t="s">
        <v>12</v>
      </c>
      <c r="C12" s="11" t="s">
        <v>13</v>
      </c>
      <c r="D12" s="11" t="s">
        <v>14</v>
      </c>
      <c r="E12" s="11" t="s">
        <v>15</v>
      </c>
    </row>
    <row r="13" customFormat="false" ht="12.8" hidden="false" customHeight="false" outlineLevel="0" collapsed="false">
      <c r="A13" s="12" t="n">
        <v>1</v>
      </c>
      <c r="B13" s="8" t="n">
        <f aca="false">B2</f>
        <v>5000</v>
      </c>
      <c r="C13" s="8" t="n">
        <f aca="false">$B$3</f>
        <v>500</v>
      </c>
      <c r="D13" s="13" t="n">
        <f aca="false">(B13 + C13) * $B$4</f>
        <v>46.75</v>
      </c>
      <c r="E13" s="13" t="n">
        <f aca="false">(B13 + C13 + D13) * $B$5</f>
        <v>36.053875</v>
      </c>
    </row>
    <row r="14" customFormat="false" ht="12.8" hidden="false" customHeight="false" outlineLevel="0" collapsed="false">
      <c r="A14" s="14" t="n">
        <f aca="false">A13 + 1</f>
        <v>2</v>
      </c>
      <c r="B14" s="13" t="n">
        <f aca="false">B13 + C13 + D13 + E13</f>
        <v>5582.803875</v>
      </c>
      <c r="C14" s="8" t="n">
        <f aca="false">$B$3</f>
        <v>500</v>
      </c>
      <c r="D14" s="13" t="n">
        <f aca="false">(B14 + C14) * $B$4</f>
        <v>51.7038329375</v>
      </c>
      <c r="E14" s="13" t="n">
        <f aca="false">(B14 + C14 + D14) * $B$5</f>
        <v>39.8743001015938</v>
      </c>
    </row>
    <row r="15" customFormat="false" ht="12.8" hidden="false" customHeight="false" outlineLevel="0" collapsed="false">
      <c r="A15" s="14" t="n">
        <f aca="false">A14 + 1</f>
        <v>3</v>
      </c>
      <c r="B15" s="8" t="n">
        <f aca="false">B14 + C14 + D14 + E14</f>
        <v>6174.38200803909</v>
      </c>
      <c r="C15" s="8" t="n">
        <f aca="false">$B$3</f>
        <v>500</v>
      </c>
      <c r="D15" s="8" t="n">
        <f aca="false">(B15 + C15) * $B$4</f>
        <v>56.7322470683323</v>
      </c>
      <c r="E15" s="8" t="n">
        <f aca="false">(B15 + C15 + D15) * $B$5</f>
        <v>43.7522426581983</v>
      </c>
    </row>
    <row r="16" customFormat="false" ht="12.8" hidden="false" customHeight="false" outlineLevel="0" collapsed="false">
      <c r="A16" s="14" t="n">
        <f aca="false">A15 + 1</f>
        <v>4</v>
      </c>
      <c r="B16" s="8" t="n">
        <f aca="false">B15 + C15 + D15 + E15</f>
        <v>6774.86649776562</v>
      </c>
      <c r="C16" s="8" t="n">
        <f aca="false">$B$3</f>
        <v>500</v>
      </c>
      <c r="D16" s="8" t="n">
        <f aca="false">(B16 + C16) * $B$4</f>
        <v>61.8363652310078</v>
      </c>
      <c r="E16" s="8" t="n">
        <f aca="false">(B16 + C16 + D16) * $B$5</f>
        <v>47.6885686094781</v>
      </c>
    </row>
    <row r="17" customFormat="false" ht="12.8" hidden="false" customHeight="false" outlineLevel="0" collapsed="false">
      <c r="A17" s="14" t="n">
        <f aca="false">A16 + 1</f>
        <v>5</v>
      </c>
      <c r="B17" s="8" t="n">
        <f aca="false">B16 + C16 + D16 + E16</f>
        <v>7384.39143160611</v>
      </c>
      <c r="C17" s="8" t="n">
        <f aca="false">$B$3</f>
        <v>500</v>
      </c>
      <c r="D17" s="8" t="n">
        <f aca="false">(B17 + C17) * $B$4</f>
        <v>67.017327168652</v>
      </c>
      <c r="E17" s="8" t="n">
        <f aca="false">(B17 + C17 + D17) * $B$5</f>
        <v>51.684156932036</v>
      </c>
    </row>
    <row r="18" customFormat="false" ht="12.8" hidden="false" customHeight="false" outlineLevel="0" collapsed="false">
      <c r="A18" s="14" t="n">
        <f aca="false">A17 + 1</f>
        <v>6</v>
      </c>
      <c r="B18" s="8" t="n">
        <f aca="false">B17 + C17 + D17 + E17</f>
        <v>8003.0929157068</v>
      </c>
      <c r="C18" s="8" t="n">
        <f aca="false">$B$3</f>
        <v>500</v>
      </c>
      <c r="D18" s="8" t="n">
        <f aca="false">(B18 + C18) * $B$4</f>
        <v>72.2762897835078</v>
      </c>
      <c r="E18" s="8" t="n">
        <f aca="false">(B18 + C18 + D18) * $B$5</f>
        <v>55.739899835687</v>
      </c>
    </row>
    <row r="19" customFormat="false" ht="12.8" hidden="false" customHeight="false" outlineLevel="0" collapsed="false">
      <c r="A19" s="14" t="n">
        <f aca="false">A18 + 1</f>
        <v>7</v>
      </c>
      <c r="B19" s="8" t="n">
        <f aca="false">B18 + C18 + D18 + E18</f>
        <v>8631.10910532599</v>
      </c>
      <c r="C19" s="8" t="n">
        <f aca="false">$B$3</f>
        <v>500</v>
      </c>
      <c r="D19" s="8" t="n">
        <f aca="false">(B19 + C19) * $B$4</f>
        <v>77.614427395271</v>
      </c>
      <c r="E19" s="8" t="n">
        <f aca="false">(B19 + C19 + D19) * $B$5</f>
        <v>59.8567029626882</v>
      </c>
    </row>
    <row r="20" customFormat="false" ht="12.8" hidden="false" customHeight="false" outlineLevel="0" collapsed="false">
      <c r="A20" s="14" t="n">
        <f aca="false">A19 + 1</f>
        <v>8</v>
      </c>
      <c r="B20" s="8" t="n">
        <f aca="false">B19 + C19 + D19 + E19</f>
        <v>9268.58023568395</v>
      </c>
      <c r="C20" s="8" t="n">
        <f aca="false">$B$3</f>
        <v>500</v>
      </c>
      <c r="D20" s="8" t="n">
        <f aca="false">(B20 + C20) * $B$4</f>
        <v>83.0329320033136</v>
      </c>
      <c r="E20" s="8" t="n">
        <f aca="false">(B20 + C20 + D20) * $B$5</f>
        <v>64.0354855899672</v>
      </c>
    </row>
    <row r="21" customFormat="false" ht="12.8" hidden="false" customHeight="false" outlineLevel="0" collapsed="false">
      <c r="A21" s="14" t="n">
        <f aca="false">A20 + 1</f>
        <v>9</v>
      </c>
      <c r="B21" s="8" t="n">
        <f aca="false">B20 + C20 + D20 + E20</f>
        <v>9915.64865327723</v>
      </c>
      <c r="C21" s="8" t="n">
        <f aca="false">$B$3</f>
        <v>500</v>
      </c>
      <c r="D21" s="8" t="n">
        <f aca="false">(B21 + C21) * $B$4</f>
        <v>88.5330135528565</v>
      </c>
      <c r="E21" s="8" t="n">
        <f aca="false">(B21 + C21 + D21) * $B$5</f>
        <v>68.2771808343956</v>
      </c>
    </row>
    <row r="22" customFormat="false" ht="12.8" hidden="false" customHeight="false" outlineLevel="0" collapsed="false">
      <c r="A22" s="14" t="n">
        <f aca="false">A21 + 1</f>
        <v>10</v>
      </c>
      <c r="B22" s="8" t="n">
        <f aca="false">B21 + C21 + D21 + E21</f>
        <v>10572.4588476645</v>
      </c>
      <c r="C22" s="8" t="n">
        <f aca="false">$B$3</f>
        <v>500</v>
      </c>
      <c r="D22" s="8" t="n">
        <f aca="false">(B22 + C22) * $B$4</f>
        <v>94.1159002051481</v>
      </c>
      <c r="E22" s="8" t="n">
        <f aca="false">(B22 + C22 + D22) * $B$5</f>
        <v>72.5827358611526</v>
      </c>
    </row>
    <row r="23" customFormat="false" ht="12.8" hidden="false" customHeight="false" outlineLevel="0" collapsed="false">
      <c r="A23" s="14" t="n">
        <f aca="false">A22 + 1</f>
        <v>11</v>
      </c>
      <c r="B23" s="8" t="n">
        <f aca="false">B22 + C22 + D22 + E22</f>
        <v>11239.1574837308</v>
      </c>
      <c r="C23" s="8" t="n">
        <f aca="false">$B$3</f>
        <v>500</v>
      </c>
      <c r="D23" s="8" t="n">
        <f aca="false">(B23 + C23) * $B$4</f>
        <v>99.7828386117117</v>
      </c>
      <c r="E23" s="8" t="n">
        <f aca="false">(B23 + C23 + D23) * $B$5</f>
        <v>76.9531120952263</v>
      </c>
    </row>
    <row r="24" customFormat="false" ht="12.8" hidden="false" customHeight="false" outlineLevel="0" collapsed="false">
      <c r="A24" s="14" t="n">
        <f aca="false">A23 + 1</f>
        <v>12</v>
      </c>
      <c r="B24" s="8" t="n">
        <f aca="false">B23 + C23 + D23 + E23</f>
        <v>11915.8934344377</v>
      </c>
      <c r="C24" s="8" t="n">
        <f aca="false">$B$3</f>
        <v>500</v>
      </c>
      <c r="D24" s="8" t="n">
        <f aca="false">(B24 + C24) * $B$4</f>
        <v>105.535094192721</v>
      </c>
      <c r="E24" s="8" t="n">
        <f aca="false">(B24 + C24 + D24) * $B$5</f>
        <v>81.3892854360979</v>
      </c>
    </row>
    <row r="25" customFormat="false" ht="12.8" hidden="false" customHeight="false" outlineLevel="0" collapsed="false">
      <c r="A25" s="15"/>
      <c r="B25" s="15"/>
      <c r="C25" s="15"/>
      <c r="D25" s="15"/>
      <c r="E25" s="15"/>
    </row>
    <row r="26" customFormat="false" ht="12.8" hidden="false" customHeight="false" outlineLevel="0" collapsed="false">
      <c r="A26" s="15"/>
      <c r="B26" s="15"/>
      <c r="C26" s="15"/>
      <c r="D26" s="15"/>
      <c r="E26" s="15"/>
    </row>
  </sheetData>
  <mergeCells count="2">
    <mergeCell ref="A1:B1"/>
    <mergeCell ref="A7:B7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4" activeCellId="0" sqref="E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0.17"/>
  </cols>
  <sheetData>
    <row r="1" customFormat="false" ht="12.8" hidden="false" customHeight="false" outlineLevel="0" collapsed="false">
      <c r="A1" s="16" t="s">
        <v>16</v>
      </c>
      <c r="B1" s="17" t="n">
        <v>2000</v>
      </c>
      <c r="C1" s="18"/>
      <c r="D1" s="18"/>
      <c r="E1" s="18"/>
      <c r="F1" s="18"/>
    </row>
    <row r="2" customFormat="false" ht="12.8" hidden="false" customHeight="false" outlineLevel="0" collapsed="false">
      <c r="A2" s="19" t="s">
        <v>17</v>
      </c>
      <c r="B2" s="20" t="n">
        <v>100</v>
      </c>
      <c r="C2" s="18"/>
      <c r="D2" s="18"/>
      <c r="E2" s="18"/>
      <c r="F2" s="18"/>
    </row>
    <row r="3" customFormat="false" ht="23.85" hidden="false" customHeight="false" outlineLevel="0" collapsed="false">
      <c r="A3" s="16" t="s">
        <v>18</v>
      </c>
      <c r="B3" s="21" t="n">
        <v>0.01</v>
      </c>
      <c r="C3" s="18"/>
      <c r="D3" s="18"/>
      <c r="E3" s="18"/>
      <c r="F3" s="18"/>
    </row>
    <row r="4" customFormat="false" ht="12.8" hidden="false" customHeight="false" outlineLevel="0" collapsed="false">
      <c r="A4" s="19" t="s">
        <v>19</v>
      </c>
      <c r="B4" s="18" t="n">
        <v>12</v>
      </c>
      <c r="C4" s="18"/>
      <c r="D4" s="18"/>
      <c r="E4" s="18"/>
      <c r="F4" s="18"/>
    </row>
    <row r="5" customFormat="false" ht="12.8" hidden="false" customHeight="false" outlineLevel="0" collapsed="false">
      <c r="A5" s="19" t="s">
        <v>20</v>
      </c>
      <c r="B5" s="22" t="n">
        <f aca="false">FV(B3, B4, -B2, -B1*(1+B3), 1)</f>
        <v>3557.11936519947</v>
      </c>
      <c r="C5" s="18"/>
      <c r="D5" s="18"/>
      <c r="E5" s="18"/>
      <c r="F5" s="18"/>
    </row>
    <row r="6" customFormat="false" ht="12.8" hidden="false" customHeight="false" outlineLevel="0" collapsed="false">
      <c r="A6" s="18"/>
      <c r="B6" s="18"/>
      <c r="C6" s="18"/>
      <c r="D6" s="18"/>
      <c r="E6" s="18"/>
      <c r="F6" s="18"/>
    </row>
    <row r="7" customFormat="false" ht="23.85" hidden="false" customHeight="false" outlineLevel="0" collapsed="false">
      <c r="A7" s="19" t="s">
        <v>21</v>
      </c>
      <c r="B7" s="19" t="s">
        <v>22</v>
      </c>
      <c r="C7" s="19" t="s">
        <v>23</v>
      </c>
      <c r="D7" s="19" t="s">
        <v>24</v>
      </c>
      <c r="E7" s="19" t="s">
        <v>25</v>
      </c>
      <c r="F7" s="19" t="s">
        <v>26</v>
      </c>
    </row>
    <row r="8" customFormat="false" ht="12.8" hidden="false" customHeight="false" outlineLevel="0" collapsed="false">
      <c r="A8" s="18" t="n">
        <v>1</v>
      </c>
      <c r="B8" s="23" t="n">
        <f aca="false">$B$1</f>
        <v>2000</v>
      </c>
      <c r="C8" s="23" t="n">
        <f aca="false">(B8+D8)*$B$3</f>
        <v>21</v>
      </c>
      <c r="D8" s="19" t="n">
        <f aca="false">$B$2</f>
        <v>100</v>
      </c>
      <c r="E8" s="23" t="n">
        <f aca="false">B8+D8+C8</f>
        <v>2121</v>
      </c>
      <c r="F8" s="19" t="str">
        <f aca="false">IF(C8&gt;=D8, "SIM", "NÃO")</f>
        <v>NÃO</v>
      </c>
    </row>
    <row r="9" customFormat="false" ht="12.8" hidden="false" customHeight="false" outlineLevel="0" collapsed="false">
      <c r="A9" s="19" t="n">
        <f aca="false">A8+1</f>
        <v>2</v>
      </c>
      <c r="B9" s="23" t="n">
        <f aca="false">E8</f>
        <v>2121</v>
      </c>
      <c r="C9" s="23" t="n">
        <f aca="false">B9*$B$3</f>
        <v>21.21</v>
      </c>
      <c r="D9" s="19" t="n">
        <f aca="false">$B$2</f>
        <v>100</v>
      </c>
      <c r="E9" s="22" t="n">
        <f aca="false">B9+C9+D9</f>
        <v>2242.21</v>
      </c>
      <c r="F9" s="19" t="str">
        <f aca="false">IF(C9&gt;=D9, "SIM", "NÃO")</f>
        <v>NÃO</v>
      </c>
    </row>
    <row r="10" customFormat="false" ht="12.8" hidden="false" customHeight="false" outlineLevel="0" collapsed="false">
      <c r="A10" s="19" t="n">
        <f aca="false">A9+1</f>
        <v>3</v>
      </c>
      <c r="B10" s="23" t="n">
        <f aca="false">E9</f>
        <v>2242.21</v>
      </c>
      <c r="C10" s="23" t="n">
        <f aca="false">B10*$B$3</f>
        <v>22.4221</v>
      </c>
      <c r="D10" s="19" t="n">
        <f aca="false">$B$2</f>
        <v>100</v>
      </c>
      <c r="E10" s="23" t="n">
        <f aca="false">B10+C10+D10</f>
        <v>2364.6321</v>
      </c>
      <c r="F10" s="19" t="str">
        <f aca="false">IF(C10&gt;=D10, "SIM", "NÃO")</f>
        <v>NÃO</v>
      </c>
    </row>
    <row r="11" customFormat="false" ht="12.8" hidden="false" customHeight="false" outlineLevel="0" collapsed="false">
      <c r="A11" s="19" t="n">
        <f aca="false">A10+1</f>
        <v>4</v>
      </c>
      <c r="B11" s="23" t="n">
        <f aca="false">E10</f>
        <v>2364.6321</v>
      </c>
      <c r="C11" s="23" t="n">
        <f aca="false">B11*$B$3</f>
        <v>23.646321</v>
      </c>
      <c r="D11" s="19" t="n">
        <f aca="false">$B$2</f>
        <v>100</v>
      </c>
      <c r="E11" s="23" t="n">
        <f aca="false">B11+C11+D11</f>
        <v>2488.278421</v>
      </c>
      <c r="F11" s="19" t="str">
        <f aca="false">IF(C11&gt;=D11, "SIM", "NÃO")</f>
        <v>NÃO</v>
      </c>
    </row>
    <row r="12" customFormat="false" ht="12.8" hidden="false" customHeight="false" outlineLevel="0" collapsed="false">
      <c r="A12" s="19" t="n">
        <f aca="false">A11+1</f>
        <v>5</v>
      </c>
      <c r="B12" s="23" t="n">
        <f aca="false">E11</f>
        <v>2488.278421</v>
      </c>
      <c r="C12" s="23" t="n">
        <f aca="false">B12*$B$3</f>
        <v>24.88278421</v>
      </c>
      <c r="D12" s="19" t="n">
        <f aca="false">$B$2</f>
        <v>100</v>
      </c>
      <c r="E12" s="23" t="n">
        <f aca="false">B12+C12+D12</f>
        <v>2613.16120521</v>
      </c>
      <c r="F12" s="19" t="str">
        <f aca="false">IF(C12&gt;=D12, "SIM", "NÃO")</f>
        <v>NÃO</v>
      </c>
    </row>
    <row r="13" customFormat="false" ht="12.8" hidden="false" customHeight="false" outlineLevel="0" collapsed="false">
      <c r="A13" s="19" t="n">
        <f aca="false">A12+1</f>
        <v>6</v>
      </c>
      <c r="B13" s="23" t="n">
        <f aca="false">E12</f>
        <v>2613.16120521</v>
      </c>
      <c r="C13" s="23" t="n">
        <f aca="false">B13*$B$3</f>
        <v>26.1316120521</v>
      </c>
      <c r="D13" s="19" t="n">
        <f aca="false">$B$2</f>
        <v>100</v>
      </c>
      <c r="E13" s="23" t="n">
        <f aca="false">B13+C13+D13</f>
        <v>2739.2928172621</v>
      </c>
      <c r="F13" s="19" t="str">
        <f aca="false">IF(C13&gt;=D13, "SIM", "NÃO")</f>
        <v>NÃO</v>
      </c>
    </row>
    <row r="14" customFormat="false" ht="12.8" hidden="false" customHeight="false" outlineLevel="0" collapsed="false">
      <c r="A14" s="19" t="n">
        <f aca="false">A13+1</f>
        <v>7</v>
      </c>
      <c r="B14" s="23" t="n">
        <f aca="false">E13</f>
        <v>2739.2928172621</v>
      </c>
      <c r="C14" s="23" t="n">
        <f aca="false">B14*$B$3</f>
        <v>27.392928172621</v>
      </c>
      <c r="D14" s="19" t="n">
        <f aca="false">$B$2</f>
        <v>100</v>
      </c>
      <c r="E14" s="23" t="n">
        <f aca="false">B14+C14+D14</f>
        <v>2866.68574543472</v>
      </c>
      <c r="F14" s="19" t="str">
        <f aca="false">IF(C14&gt;=D14, "SIM", "NÃO")</f>
        <v>NÃO</v>
      </c>
    </row>
    <row r="15" customFormat="false" ht="12.8" hidden="false" customHeight="false" outlineLevel="0" collapsed="false">
      <c r="A15" s="19" t="n">
        <f aca="false">A14+1</f>
        <v>8</v>
      </c>
      <c r="B15" s="23" t="n">
        <f aca="false">E14</f>
        <v>2866.68574543472</v>
      </c>
      <c r="C15" s="23" t="n">
        <f aca="false">B15*$B$3</f>
        <v>28.6668574543472</v>
      </c>
      <c r="D15" s="19" t="n">
        <f aca="false">$B$2</f>
        <v>100</v>
      </c>
      <c r="E15" s="23" t="n">
        <f aca="false">B15+C15+D15</f>
        <v>2995.35260288907</v>
      </c>
      <c r="F15" s="19" t="str">
        <f aca="false">IF(C15&gt;=D15, "SIM", "NÃO")</f>
        <v>NÃO</v>
      </c>
    </row>
    <row r="16" customFormat="false" ht="12.8" hidden="false" customHeight="false" outlineLevel="0" collapsed="false">
      <c r="A16" s="19" t="n">
        <f aca="false">A15+1</f>
        <v>9</v>
      </c>
      <c r="B16" s="23" t="n">
        <f aca="false">E15</f>
        <v>2995.35260288907</v>
      </c>
      <c r="C16" s="23" t="n">
        <f aca="false">B16*$B$3</f>
        <v>29.9535260288907</v>
      </c>
      <c r="D16" s="19" t="n">
        <f aca="false">$B$2</f>
        <v>100</v>
      </c>
      <c r="E16" s="23" t="n">
        <f aca="false">B16+C16+D16</f>
        <v>3125.30612891796</v>
      </c>
      <c r="F16" s="19" t="str">
        <f aca="false">IF(C16&gt;=D16, "SIM", "NÃO")</f>
        <v>NÃO</v>
      </c>
    </row>
    <row r="17" customFormat="false" ht="12.8" hidden="false" customHeight="false" outlineLevel="0" collapsed="false">
      <c r="A17" s="19" t="n">
        <f aca="false">A16+1</f>
        <v>10</v>
      </c>
      <c r="B17" s="23" t="n">
        <f aca="false">E16</f>
        <v>3125.30612891796</v>
      </c>
      <c r="C17" s="23" t="n">
        <f aca="false">B17*$B$3</f>
        <v>31.2530612891796</v>
      </c>
      <c r="D17" s="19" t="n">
        <f aca="false">$B$2</f>
        <v>100</v>
      </c>
      <c r="E17" s="23" t="n">
        <f aca="false">B17+C17+D17</f>
        <v>3256.55919020714</v>
      </c>
      <c r="F17" s="19" t="str">
        <f aca="false">IF(C17&gt;=D17, "SIM", "NÃO")</f>
        <v>NÃO</v>
      </c>
    </row>
    <row r="18" customFormat="false" ht="12.8" hidden="false" customHeight="false" outlineLevel="0" collapsed="false">
      <c r="A18" s="19" t="n">
        <f aca="false">A17+1</f>
        <v>11</v>
      </c>
      <c r="B18" s="23" t="n">
        <f aca="false">E17</f>
        <v>3256.55919020714</v>
      </c>
      <c r="C18" s="23" t="n">
        <f aca="false">B18*$B$3</f>
        <v>32.5655919020714</v>
      </c>
      <c r="D18" s="19" t="n">
        <f aca="false">$B$2</f>
        <v>100</v>
      </c>
      <c r="E18" s="23" t="n">
        <f aca="false">B18+C18+D18</f>
        <v>3389.12478210921</v>
      </c>
      <c r="F18" s="19" t="str">
        <f aca="false">IF(C18&gt;=D18, "SIM", "NÃO")</f>
        <v>NÃO</v>
      </c>
    </row>
    <row r="19" customFormat="false" ht="12.8" hidden="false" customHeight="false" outlineLevel="0" collapsed="false">
      <c r="A19" s="19" t="n">
        <f aca="false">A18+1</f>
        <v>12</v>
      </c>
      <c r="B19" s="23" t="n">
        <f aca="false">E18</f>
        <v>3389.12478210921</v>
      </c>
      <c r="C19" s="23" t="n">
        <f aca="false">B19*$B$3</f>
        <v>33.8912478210921</v>
      </c>
      <c r="D19" s="19" t="n">
        <f aca="false">$B$2</f>
        <v>100</v>
      </c>
      <c r="E19" s="23" t="n">
        <f aca="false">B19+C19+D19</f>
        <v>3523.0160299303</v>
      </c>
      <c r="F19" s="19" t="str">
        <f aca="false">IF(C19&gt;=D19, "SIM", "NÃO")</f>
        <v>NÃO</v>
      </c>
    </row>
    <row r="20" customFormat="false" ht="12.8" hidden="false" customHeight="false" outlineLevel="0" collapsed="false">
      <c r="A20" s="19" t="n">
        <f aca="false">A19+1</f>
        <v>13</v>
      </c>
      <c r="B20" s="23" t="n">
        <f aca="false">E19</f>
        <v>3523.0160299303</v>
      </c>
      <c r="C20" s="23" t="n">
        <f aca="false">B20*$B$3</f>
        <v>35.230160299303</v>
      </c>
      <c r="D20" s="19" t="n">
        <f aca="false">$B$2</f>
        <v>100</v>
      </c>
      <c r="E20" s="23" t="n">
        <f aca="false">B20+C20+D20</f>
        <v>3658.24619022961</v>
      </c>
      <c r="F20" s="19" t="str">
        <f aca="false">IF(C20&gt;=D20, "SIM", "NÃO")</f>
        <v>NÃO</v>
      </c>
    </row>
    <row r="21" customFormat="false" ht="12.8" hidden="false" customHeight="false" outlineLevel="0" collapsed="false">
      <c r="A21" s="19" t="n">
        <f aca="false">A20+1</f>
        <v>14</v>
      </c>
      <c r="B21" s="23" t="n">
        <f aca="false">E20</f>
        <v>3658.24619022961</v>
      </c>
      <c r="C21" s="23" t="n">
        <f aca="false">B21*$B$3</f>
        <v>36.5824619022961</v>
      </c>
      <c r="D21" s="19" t="n">
        <f aca="false">$B$2</f>
        <v>100</v>
      </c>
      <c r="E21" s="23" t="n">
        <f aca="false">B21+C21+D21</f>
        <v>3794.8286521319</v>
      </c>
      <c r="F21" s="19" t="str">
        <f aca="false">IF(C21&gt;=D21, "SIM", "NÃO")</f>
        <v>NÃO</v>
      </c>
    </row>
    <row r="22" customFormat="false" ht="12.8" hidden="false" customHeight="false" outlineLevel="0" collapsed="false">
      <c r="A22" s="19" t="n">
        <f aca="false">A21+1</f>
        <v>15</v>
      </c>
      <c r="B22" s="23" t="n">
        <f aca="false">E21</f>
        <v>3794.8286521319</v>
      </c>
      <c r="C22" s="23" t="n">
        <f aca="false">B22*$B$3</f>
        <v>37.948286521319</v>
      </c>
      <c r="D22" s="19" t="n">
        <f aca="false">$B$2</f>
        <v>100</v>
      </c>
      <c r="E22" s="23" t="n">
        <f aca="false">B22+C22+D22</f>
        <v>3932.77693865322</v>
      </c>
      <c r="F22" s="19" t="str">
        <f aca="false">IF(C22&gt;=D22, "SIM", "NÃO")</f>
        <v>NÃO</v>
      </c>
    </row>
    <row r="23" customFormat="false" ht="12.8" hidden="false" customHeight="false" outlineLevel="0" collapsed="false">
      <c r="A23" s="19" t="n">
        <f aca="false">A22+1</f>
        <v>16</v>
      </c>
      <c r="B23" s="23" t="n">
        <f aca="false">E22</f>
        <v>3932.77693865322</v>
      </c>
      <c r="C23" s="23" t="n">
        <f aca="false">B23*$B$3</f>
        <v>39.3277693865322</v>
      </c>
      <c r="D23" s="19" t="n">
        <f aca="false">$B$2</f>
        <v>100</v>
      </c>
      <c r="E23" s="23" t="n">
        <f aca="false">B23+C23+D23</f>
        <v>4072.10470803975</v>
      </c>
      <c r="F23" s="19" t="str">
        <f aca="false">IF(C23&gt;=D23, "SIM", "NÃO")</f>
        <v>NÃO</v>
      </c>
    </row>
    <row r="24" customFormat="false" ht="12.8" hidden="false" customHeight="false" outlineLevel="0" collapsed="false">
      <c r="A24" s="19" t="n">
        <f aca="false">A23+1</f>
        <v>17</v>
      </c>
      <c r="B24" s="23" t="n">
        <f aca="false">E23</f>
        <v>4072.10470803975</v>
      </c>
      <c r="C24" s="23" t="n">
        <f aca="false">B24*$B$3</f>
        <v>40.7210470803975</v>
      </c>
      <c r="D24" s="19" t="n">
        <f aca="false">$B$2</f>
        <v>100</v>
      </c>
      <c r="E24" s="23" t="n">
        <f aca="false">B24+C24+D24</f>
        <v>4212.82575512015</v>
      </c>
      <c r="F24" s="19" t="str">
        <f aca="false">IF(C24&gt;=D24, "SIM", "NÃO")</f>
        <v>NÃO</v>
      </c>
    </row>
    <row r="25" customFormat="false" ht="12.8" hidden="false" customHeight="false" outlineLevel="0" collapsed="false">
      <c r="A25" s="19" t="n">
        <f aca="false">A24+1</f>
        <v>18</v>
      </c>
      <c r="B25" s="23" t="n">
        <f aca="false">E24</f>
        <v>4212.82575512015</v>
      </c>
      <c r="C25" s="23" t="n">
        <f aca="false">B25*$B$3</f>
        <v>42.1282575512015</v>
      </c>
      <c r="D25" s="19" t="n">
        <f aca="false">$B$2</f>
        <v>100</v>
      </c>
      <c r="E25" s="23" t="n">
        <f aca="false">B25+C25+D25</f>
        <v>4354.95401267135</v>
      </c>
      <c r="F25" s="19" t="str">
        <f aca="false">IF(C25&gt;=D25, "SIM", "NÃO")</f>
        <v>NÃO</v>
      </c>
    </row>
    <row r="26" customFormat="false" ht="12.8" hidden="false" customHeight="false" outlineLevel="0" collapsed="false">
      <c r="A26" s="19" t="n">
        <f aca="false">A25+1</f>
        <v>19</v>
      </c>
      <c r="B26" s="23" t="n">
        <f aca="false">E25</f>
        <v>4354.95401267135</v>
      </c>
      <c r="C26" s="23" t="n">
        <f aca="false">B26*$B$3</f>
        <v>43.5495401267135</v>
      </c>
      <c r="D26" s="19" t="n">
        <f aca="false">$B$2</f>
        <v>100</v>
      </c>
      <c r="E26" s="23" t="n">
        <f aca="false">B26+C26+D26</f>
        <v>4498.50355279807</v>
      </c>
      <c r="F26" s="19" t="str">
        <f aca="false">IF(C26&gt;=D26, "SIM", "NÃO")</f>
        <v>NÃO</v>
      </c>
    </row>
    <row r="27" customFormat="false" ht="12.8" hidden="false" customHeight="false" outlineLevel="0" collapsed="false">
      <c r="A27" s="19" t="n">
        <f aca="false">A26+1</f>
        <v>20</v>
      </c>
      <c r="B27" s="23" t="n">
        <f aca="false">E26</f>
        <v>4498.50355279807</v>
      </c>
      <c r="C27" s="23" t="n">
        <f aca="false">B27*$B$3</f>
        <v>44.9850355279807</v>
      </c>
      <c r="D27" s="19" t="n">
        <f aca="false">$B$2</f>
        <v>100</v>
      </c>
      <c r="E27" s="23" t="n">
        <f aca="false">B27+C27+D27</f>
        <v>4643.48858832605</v>
      </c>
      <c r="F27" s="19" t="str">
        <f aca="false">IF(C27&gt;=D27, "SIM", "NÃO")</f>
        <v>NÃO</v>
      </c>
    </row>
    <row r="28" customFormat="false" ht="12.8" hidden="false" customHeight="false" outlineLevel="0" collapsed="false">
      <c r="A28" s="19" t="n">
        <f aca="false">A27+1</f>
        <v>21</v>
      </c>
      <c r="B28" s="23" t="n">
        <f aca="false">E27</f>
        <v>4643.48858832605</v>
      </c>
      <c r="C28" s="23" t="n">
        <f aca="false">B28*$B$3</f>
        <v>46.4348858832605</v>
      </c>
      <c r="D28" s="19" t="n">
        <f aca="false">$B$2</f>
        <v>100</v>
      </c>
      <c r="E28" s="23" t="n">
        <f aca="false">B28+C28+D28</f>
        <v>4789.92347420931</v>
      </c>
      <c r="F28" s="19" t="str">
        <f aca="false">IF(C28&gt;=D28, "SIM", "NÃO")</f>
        <v>NÃO</v>
      </c>
    </row>
    <row r="29" customFormat="false" ht="12.8" hidden="false" customHeight="false" outlineLevel="0" collapsed="false">
      <c r="A29" s="19" t="n">
        <f aca="false">A28+1</f>
        <v>22</v>
      </c>
      <c r="B29" s="23" t="n">
        <f aca="false">E28</f>
        <v>4789.92347420931</v>
      </c>
      <c r="C29" s="23" t="n">
        <f aca="false">B29*$B$3</f>
        <v>47.8992347420931</v>
      </c>
      <c r="D29" s="19" t="n">
        <f aca="false">$B$2</f>
        <v>100</v>
      </c>
      <c r="E29" s="23" t="n">
        <f aca="false">B29+C29+D29</f>
        <v>4937.8227089514</v>
      </c>
      <c r="F29" s="19" t="str">
        <f aca="false">IF(C29&gt;=D29, "SIM", "NÃO")</f>
        <v>NÃO</v>
      </c>
    </row>
    <row r="30" customFormat="false" ht="12.8" hidden="false" customHeight="false" outlineLevel="0" collapsed="false">
      <c r="A30" s="19" t="n">
        <f aca="false">A29+1</f>
        <v>23</v>
      </c>
      <c r="B30" s="23" t="n">
        <f aca="false">E29</f>
        <v>4937.8227089514</v>
      </c>
      <c r="C30" s="23" t="n">
        <f aca="false">B30*$B$3</f>
        <v>49.378227089514</v>
      </c>
      <c r="D30" s="19" t="n">
        <f aca="false">$B$2</f>
        <v>100</v>
      </c>
      <c r="E30" s="23" t="n">
        <f aca="false">B30+C30+D30</f>
        <v>5087.20093604091</v>
      </c>
      <c r="F30" s="19" t="str">
        <f aca="false">IF(C30&gt;=D30, "SIM", "NÃO")</f>
        <v>NÃO</v>
      </c>
    </row>
    <row r="31" customFormat="false" ht="12.8" hidden="false" customHeight="false" outlineLevel="0" collapsed="false">
      <c r="A31" s="19" t="n">
        <f aca="false">A30+1</f>
        <v>24</v>
      </c>
      <c r="B31" s="23" t="n">
        <f aca="false">E30</f>
        <v>5087.20093604091</v>
      </c>
      <c r="C31" s="23" t="n">
        <f aca="false">B31*$B$3</f>
        <v>50.8720093604091</v>
      </c>
      <c r="D31" s="19" t="n">
        <f aca="false">$B$2</f>
        <v>100</v>
      </c>
      <c r="E31" s="23" t="n">
        <f aca="false">B31+C31+D31</f>
        <v>5238.07294540132</v>
      </c>
      <c r="F31" s="19" t="str">
        <f aca="false">IF(C31&gt;=D31, "SIM", "NÃO")</f>
        <v>NÃO</v>
      </c>
    </row>
    <row r="32" customFormat="false" ht="12.8" hidden="false" customHeight="false" outlineLevel="0" collapsed="false">
      <c r="A32" s="19" t="n">
        <f aca="false">A31+1</f>
        <v>25</v>
      </c>
      <c r="B32" s="23" t="n">
        <f aca="false">E31</f>
        <v>5238.07294540132</v>
      </c>
      <c r="C32" s="23" t="n">
        <f aca="false">B32*$B$3</f>
        <v>52.3807294540132</v>
      </c>
      <c r="D32" s="19" t="n">
        <f aca="false">$B$2</f>
        <v>100</v>
      </c>
      <c r="E32" s="23" t="n">
        <f aca="false">B32+C32+D32</f>
        <v>5390.45367485534</v>
      </c>
      <c r="F32" s="19" t="str">
        <f aca="false">IF(C32&gt;=D32, "SIM", "NÃO")</f>
        <v>NÃO</v>
      </c>
    </row>
    <row r="33" customFormat="false" ht="12.8" hidden="false" customHeight="false" outlineLevel="0" collapsed="false">
      <c r="A33" s="19" t="n">
        <f aca="false">A32+1</f>
        <v>26</v>
      </c>
      <c r="B33" s="23" t="n">
        <f aca="false">E32</f>
        <v>5390.45367485534</v>
      </c>
      <c r="C33" s="23" t="n">
        <f aca="false">B33*$B$3</f>
        <v>53.9045367485534</v>
      </c>
      <c r="D33" s="19" t="n">
        <f aca="false">$B$2</f>
        <v>100</v>
      </c>
      <c r="E33" s="23" t="n">
        <f aca="false">B33+C33+D33</f>
        <v>5544.35821160389</v>
      </c>
      <c r="F33" s="19" t="str">
        <f aca="false">IF(C33&gt;=D33, "SIM", "NÃO")</f>
        <v>NÃO</v>
      </c>
    </row>
    <row r="34" customFormat="false" ht="12.8" hidden="false" customHeight="false" outlineLevel="0" collapsed="false">
      <c r="A34" s="19" t="n">
        <f aca="false">A33+1</f>
        <v>27</v>
      </c>
      <c r="B34" s="23" t="n">
        <f aca="false">E33</f>
        <v>5544.35821160389</v>
      </c>
      <c r="C34" s="23" t="n">
        <f aca="false">B34*$B$3</f>
        <v>55.4435821160389</v>
      </c>
      <c r="D34" s="19" t="n">
        <f aca="false">$B$2</f>
        <v>100</v>
      </c>
      <c r="E34" s="23" t="n">
        <f aca="false">B34+C34+D34</f>
        <v>5699.80179371993</v>
      </c>
      <c r="F34" s="19" t="str">
        <f aca="false">IF(C34&gt;=D34, "SIM", "NÃO")</f>
        <v>NÃO</v>
      </c>
    </row>
    <row r="35" customFormat="false" ht="12.8" hidden="false" customHeight="false" outlineLevel="0" collapsed="false">
      <c r="A35" s="19" t="n">
        <f aca="false">A34+1</f>
        <v>28</v>
      </c>
      <c r="B35" s="23" t="n">
        <f aca="false">E34</f>
        <v>5699.80179371993</v>
      </c>
      <c r="C35" s="23" t="n">
        <f aca="false">B35*$B$3</f>
        <v>56.9980179371993</v>
      </c>
      <c r="D35" s="19" t="n">
        <f aca="false">$B$2</f>
        <v>100</v>
      </c>
      <c r="E35" s="23" t="n">
        <f aca="false">B35+C35+D35</f>
        <v>5856.79981165713</v>
      </c>
      <c r="F35" s="19" t="str">
        <f aca="false">IF(C35&gt;=D35, "SIM", "NÃO")</f>
        <v>NÃO</v>
      </c>
    </row>
    <row r="36" customFormat="false" ht="12.8" hidden="false" customHeight="false" outlineLevel="0" collapsed="false">
      <c r="A36" s="19" t="n">
        <f aca="false">A35+1</f>
        <v>29</v>
      </c>
      <c r="B36" s="23" t="n">
        <f aca="false">E35</f>
        <v>5856.79981165713</v>
      </c>
      <c r="C36" s="23" t="n">
        <f aca="false">B36*$B$3</f>
        <v>58.5679981165713</v>
      </c>
      <c r="D36" s="19" t="n">
        <f aca="false">$B$2</f>
        <v>100</v>
      </c>
      <c r="E36" s="23" t="n">
        <f aca="false">B36+C36+D36</f>
        <v>6015.3678097737</v>
      </c>
      <c r="F36" s="19" t="str">
        <f aca="false">IF(C36&gt;=D36, "SIM", "NÃO")</f>
        <v>NÃO</v>
      </c>
    </row>
    <row r="37" customFormat="false" ht="12.8" hidden="false" customHeight="false" outlineLevel="0" collapsed="false">
      <c r="A37" s="19" t="n">
        <f aca="false">A36+1</f>
        <v>30</v>
      </c>
      <c r="B37" s="23" t="n">
        <f aca="false">E36</f>
        <v>6015.3678097737</v>
      </c>
      <c r="C37" s="23" t="n">
        <f aca="false">B37*$B$3</f>
        <v>60.153678097737</v>
      </c>
      <c r="D37" s="19" t="n">
        <f aca="false">$B$2</f>
        <v>100</v>
      </c>
      <c r="E37" s="23" t="n">
        <f aca="false">B37+C37+D37</f>
        <v>6175.52148787144</v>
      </c>
      <c r="F37" s="19" t="str">
        <f aca="false">IF(C37&gt;=D37, "SIM", "NÃO")</f>
        <v>NÃO</v>
      </c>
    </row>
    <row r="38" customFormat="false" ht="12.8" hidden="false" customHeight="false" outlineLevel="0" collapsed="false">
      <c r="A38" s="19" t="n">
        <f aca="false">A37+1</f>
        <v>31</v>
      </c>
      <c r="B38" s="23" t="n">
        <f aca="false">E37</f>
        <v>6175.52148787144</v>
      </c>
      <c r="C38" s="23" t="n">
        <f aca="false">B38*$B$3</f>
        <v>61.7552148787144</v>
      </c>
      <c r="D38" s="19" t="n">
        <f aca="false">$B$2</f>
        <v>100</v>
      </c>
      <c r="E38" s="23" t="n">
        <f aca="false">B38+C38+D38</f>
        <v>6337.27670275015</v>
      </c>
      <c r="F38" s="19" t="str">
        <f aca="false">IF(C38&gt;=D38, "SIM", "NÃO")</f>
        <v>NÃO</v>
      </c>
    </row>
    <row r="39" customFormat="false" ht="12.8" hidden="false" customHeight="false" outlineLevel="0" collapsed="false">
      <c r="A39" s="19" t="n">
        <f aca="false">A38+1</f>
        <v>32</v>
      </c>
      <c r="B39" s="23" t="n">
        <f aca="false">E38</f>
        <v>6337.27670275015</v>
      </c>
      <c r="C39" s="23" t="n">
        <f aca="false">B39*$B$3</f>
        <v>63.3727670275015</v>
      </c>
      <c r="D39" s="19" t="n">
        <f aca="false">$B$2</f>
        <v>100</v>
      </c>
      <c r="E39" s="23" t="n">
        <f aca="false">B39+C39+D39</f>
        <v>6500.64946977765</v>
      </c>
      <c r="F39" s="19" t="str">
        <f aca="false">IF(C39&gt;=D39, "SIM", "NÃO")</f>
        <v>NÃO</v>
      </c>
    </row>
    <row r="40" customFormat="false" ht="12.8" hidden="false" customHeight="false" outlineLevel="0" collapsed="false">
      <c r="A40" s="19" t="n">
        <f aca="false">A39+1</f>
        <v>33</v>
      </c>
      <c r="B40" s="23" t="n">
        <f aca="false">E39</f>
        <v>6500.64946977765</v>
      </c>
      <c r="C40" s="23" t="n">
        <f aca="false">B40*$B$3</f>
        <v>65.0064946977765</v>
      </c>
      <c r="D40" s="19" t="n">
        <f aca="false">$B$2</f>
        <v>100</v>
      </c>
      <c r="E40" s="23" t="n">
        <f aca="false">B40+C40+D40</f>
        <v>6665.65596447543</v>
      </c>
      <c r="F40" s="19" t="str">
        <f aca="false">IF(C40&gt;=D40, "SIM", "NÃO")</f>
        <v>NÃO</v>
      </c>
    </row>
    <row r="41" customFormat="false" ht="12.8" hidden="false" customHeight="false" outlineLevel="0" collapsed="false">
      <c r="A41" s="19" t="n">
        <f aca="false">A40+1</f>
        <v>34</v>
      </c>
      <c r="B41" s="23" t="n">
        <f aca="false">E40</f>
        <v>6665.65596447543</v>
      </c>
      <c r="C41" s="23" t="n">
        <f aca="false">B41*$B$3</f>
        <v>66.6565596447543</v>
      </c>
      <c r="D41" s="19" t="n">
        <f aca="false">$B$2</f>
        <v>100</v>
      </c>
      <c r="E41" s="23" t="n">
        <f aca="false">B41+C41+D41</f>
        <v>6832.31252412018</v>
      </c>
      <c r="F41" s="19" t="str">
        <f aca="false">IF(C41&gt;=D41, "SIM", "NÃO")</f>
        <v>NÃO</v>
      </c>
    </row>
    <row r="42" customFormat="false" ht="12.8" hidden="false" customHeight="false" outlineLevel="0" collapsed="false">
      <c r="A42" s="19" t="n">
        <f aca="false">A41+1</f>
        <v>35</v>
      </c>
      <c r="B42" s="23" t="n">
        <f aca="false">E41</f>
        <v>6832.31252412018</v>
      </c>
      <c r="C42" s="23" t="n">
        <f aca="false">B42*$B$3</f>
        <v>68.3231252412018</v>
      </c>
      <c r="D42" s="19" t="n">
        <f aca="false">$B$2</f>
        <v>100</v>
      </c>
      <c r="E42" s="23" t="n">
        <f aca="false">B42+C42+D42</f>
        <v>7000.63564936138</v>
      </c>
      <c r="F42" s="19" t="str">
        <f aca="false">IF(C42&gt;=D42, "SIM", "NÃO")</f>
        <v>NÃO</v>
      </c>
    </row>
    <row r="43" customFormat="false" ht="12.8" hidden="false" customHeight="false" outlineLevel="0" collapsed="false">
      <c r="A43" s="19" t="n">
        <f aca="false">A42+1</f>
        <v>36</v>
      </c>
      <c r="B43" s="23" t="n">
        <f aca="false">E42</f>
        <v>7000.63564936138</v>
      </c>
      <c r="C43" s="23" t="n">
        <f aca="false">B43*$B$3</f>
        <v>70.0063564936138</v>
      </c>
      <c r="D43" s="19" t="n">
        <f aca="false">$B$2</f>
        <v>100</v>
      </c>
      <c r="E43" s="23" t="n">
        <f aca="false">B43+C43+D43</f>
        <v>7170.642005855</v>
      </c>
      <c r="F43" s="19" t="str">
        <f aca="false">IF(C43&gt;=D43, "SIM", "NÃO")</f>
        <v>NÃO</v>
      </c>
    </row>
    <row r="44" customFormat="false" ht="12.8" hidden="false" customHeight="false" outlineLevel="0" collapsed="false">
      <c r="A44" s="19" t="n">
        <f aca="false">A43+1</f>
        <v>37</v>
      </c>
      <c r="B44" s="23" t="n">
        <f aca="false">E43</f>
        <v>7170.642005855</v>
      </c>
      <c r="C44" s="23" t="n">
        <f aca="false">B44*$B$3</f>
        <v>71.70642005855</v>
      </c>
      <c r="D44" s="19" t="n">
        <f aca="false">$B$2</f>
        <v>100</v>
      </c>
      <c r="E44" s="23" t="n">
        <f aca="false">B44+C44+D44</f>
        <v>7342.34842591355</v>
      </c>
      <c r="F44" s="19" t="str">
        <f aca="false">IF(C44&gt;=D44, "SIM", "NÃO")</f>
        <v>NÃO</v>
      </c>
    </row>
    <row r="45" customFormat="false" ht="12.8" hidden="false" customHeight="false" outlineLevel="0" collapsed="false">
      <c r="A45" s="19" t="n">
        <f aca="false">A44+1</f>
        <v>38</v>
      </c>
      <c r="B45" s="23" t="n">
        <f aca="false">E44</f>
        <v>7342.34842591355</v>
      </c>
      <c r="C45" s="23" t="n">
        <f aca="false">B45*$B$3</f>
        <v>73.4234842591355</v>
      </c>
      <c r="D45" s="19" t="n">
        <f aca="false">$B$2</f>
        <v>100</v>
      </c>
      <c r="E45" s="23" t="n">
        <f aca="false">B45+C45+D45</f>
        <v>7515.77191017268</v>
      </c>
      <c r="F45" s="19" t="str">
        <f aca="false">IF(C45&gt;=D45, "SIM", "NÃO")</f>
        <v>NÃO</v>
      </c>
    </row>
    <row r="46" customFormat="false" ht="12.8" hidden="false" customHeight="false" outlineLevel="0" collapsed="false">
      <c r="A46" s="19" t="n">
        <f aca="false">A45+1</f>
        <v>39</v>
      </c>
      <c r="B46" s="23" t="n">
        <f aca="false">E45</f>
        <v>7515.77191017268</v>
      </c>
      <c r="C46" s="23" t="n">
        <f aca="false">B46*$B$3</f>
        <v>75.1577191017268</v>
      </c>
      <c r="D46" s="19" t="n">
        <f aca="false">$B$2</f>
        <v>100</v>
      </c>
      <c r="E46" s="23" t="n">
        <f aca="false">B46+C46+D46</f>
        <v>7690.92962927441</v>
      </c>
      <c r="F46" s="19" t="str">
        <f aca="false">IF(C46&gt;=D46, "SIM", "NÃO")</f>
        <v>NÃO</v>
      </c>
    </row>
    <row r="47" customFormat="false" ht="12.8" hidden="false" customHeight="false" outlineLevel="0" collapsed="false">
      <c r="A47" s="19" t="n">
        <f aca="false">A46+1</f>
        <v>40</v>
      </c>
      <c r="B47" s="23" t="n">
        <f aca="false">E46</f>
        <v>7690.92962927441</v>
      </c>
      <c r="C47" s="23" t="n">
        <f aca="false">B47*$B$3</f>
        <v>76.9092962927441</v>
      </c>
      <c r="D47" s="19" t="n">
        <f aca="false">$B$2</f>
        <v>100</v>
      </c>
      <c r="E47" s="23" t="n">
        <f aca="false">B47+C47+D47</f>
        <v>7867.83892556715</v>
      </c>
      <c r="F47" s="19" t="str">
        <f aca="false">IF(C47&gt;=D47, "SIM", "NÃO")</f>
        <v>NÃO</v>
      </c>
    </row>
    <row r="48" customFormat="false" ht="12.8" hidden="false" customHeight="false" outlineLevel="0" collapsed="false">
      <c r="A48" s="19" t="n">
        <f aca="false">A47+1</f>
        <v>41</v>
      </c>
      <c r="B48" s="23" t="n">
        <f aca="false">E47</f>
        <v>7867.83892556715</v>
      </c>
      <c r="C48" s="23" t="n">
        <f aca="false">B48*$B$3</f>
        <v>78.6783892556715</v>
      </c>
      <c r="D48" s="19" t="n">
        <f aca="false">$B$2</f>
        <v>100</v>
      </c>
      <c r="E48" s="23" t="n">
        <f aca="false">B48+C48+D48</f>
        <v>8046.51731482283</v>
      </c>
      <c r="F48" s="19" t="str">
        <f aca="false">IF(C48&gt;=D48, "SIM", "NÃO")</f>
        <v>NÃO</v>
      </c>
    </row>
    <row r="49" customFormat="false" ht="12.8" hidden="false" customHeight="false" outlineLevel="0" collapsed="false">
      <c r="A49" s="19" t="n">
        <f aca="false">A48+1</f>
        <v>42</v>
      </c>
      <c r="B49" s="23" t="n">
        <f aca="false">E48</f>
        <v>8046.51731482283</v>
      </c>
      <c r="C49" s="23" t="n">
        <f aca="false">B49*$B$3</f>
        <v>80.4651731482283</v>
      </c>
      <c r="D49" s="19" t="n">
        <f aca="false">$B$2</f>
        <v>100</v>
      </c>
      <c r="E49" s="23" t="n">
        <f aca="false">B49+C49+D49</f>
        <v>8226.98248797105</v>
      </c>
      <c r="F49" s="19" t="str">
        <f aca="false">IF(C49&gt;=D49, "SIM", "NÃO")</f>
        <v>NÃO</v>
      </c>
    </row>
    <row r="50" customFormat="false" ht="12.8" hidden="false" customHeight="false" outlineLevel="0" collapsed="false">
      <c r="A50" s="19" t="n">
        <f aca="false">A49+1</f>
        <v>43</v>
      </c>
      <c r="B50" s="23" t="n">
        <f aca="false">E49</f>
        <v>8226.98248797105</v>
      </c>
      <c r="C50" s="23" t="n">
        <f aca="false">B50*$B$3</f>
        <v>82.2698248797105</v>
      </c>
      <c r="D50" s="19" t="n">
        <f aca="false">$B$2</f>
        <v>100</v>
      </c>
      <c r="E50" s="23" t="n">
        <f aca="false">B50+C50+D50</f>
        <v>8409.25231285076</v>
      </c>
      <c r="F50" s="19" t="str">
        <f aca="false">IF(C50&gt;=D50, "SIM", "NÃO")</f>
        <v>NÃO</v>
      </c>
    </row>
    <row r="51" customFormat="false" ht="12.8" hidden="false" customHeight="false" outlineLevel="0" collapsed="false">
      <c r="A51" s="19" t="n">
        <f aca="false">A50+1</f>
        <v>44</v>
      </c>
      <c r="B51" s="23" t="n">
        <f aca="false">E50</f>
        <v>8409.25231285076</v>
      </c>
      <c r="C51" s="23" t="n">
        <f aca="false">B51*$B$3</f>
        <v>84.0925231285076</v>
      </c>
      <c r="D51" s="19" t="n">
        <f aca="false">$B$2</f>
        <v>100</v>
      </c>
      <c r="E51" s="23" t="n">
        <f aca="false">B51+C51+D51</f>
        <v>8593.34483597927</v>
      </c>
      <c r="F51" s="19" t="str">
        <f aca="false">IF(C51&gt;=D51, "SIM", "NÃO")</f>
        <v>NÃO</v>
      </c>
    </row>
    <row r="52" customFormat="false" ht="12.8" hidden="false" customHeight="false" outlineLevel="0" collapsed="false">
      <c r="A52" s="19" t="n">
        <f aca="false">A51+1</f>
        <v>45</v>
      </c>
      <c r="B52" s="23" t="n">
        <f aca="false">E51</f>
        <v>8593.34483597927</v>
      </c>
      <c r="C52" s="23" t="n">
        <f aca="false">B52*$B$3</f>
        <v>85.9334483597927</v>
      </c>
      <c r="D52" s="19" t="n">
        <f aca="false">$B$2</f>
        <v>100</v>
      </c>
      <c r="E52" s="23" t="n">
        <f aca="false">B52+C52+D52</f>
        <v>8779.27828433906</v>
      </c>
      <c r="F52" s="19" t="str">
        <f aca="false">IF(C52&gt;=D52, "SIM", "NÃO")</f>
        <v>NÃO</v>
      </c>
    </row>
    <row r="53" customFormat="false" ht="12.8" hidden="false" customHeight="false" outlineLevel="0" collapsed="false">
      <c r="A53" s="19" t="n">
        <f aca="false">A52+1</f>
        <v>46</v>
      </c>
      <c r="B53" s="23" t="n">
        <f aca="false">E52</f>
        <v>8779.27828433906</v>
      </c>
      <c r="C53" s="23" t="n">
        <f aca="false">B53*$B$3</f>
        <v>87.7927828433906</v>
      </c>
      <c r="D53" s="19" t="n">
        <f aca="false">$B$2</f>
        <v>100</v>
      </c>
      <c r="E53" s="23" t="n">
        <f aca="false">B53+C53+D53</f>
        <v>8967.07106718245</v>
      </c>
      <c r="F53" s="19" t="str">
        <f aca="false">IF(C53&gt;=D53, "SIM", "NÃO")</f>
        <v>NÃO</v>
      </c>
    </row>
    <row r="54" customFormat="false" ht="12.8" hidden="false" customHeight="false" outlineLevel="0" collapsed="false">
      <c r="A54" s="19" t="n">
        <f aca="false">A53+1</f>
        <v>47</v>
      </c>
      <c r="B54" s="23" t="n">
        <f aca="false">E53</f>
        <v>8967.07106718245</v>
      </c>
      <c r="C54" s="23" t="n">
        <f aca="false">B54*$B$3</f>
        <v>89.6707106718246</v>
      </c>
      <c r="D54" s="19" t="n">
        <f aca="false">$B$2</f>
        <v>100</v>
      </c>
      <c r="E54" s="23" t="n">
        <f aca="false">B54+C54+D54</f>
        <v>9156.74177785428</v>
      </c>
      <c r="F54" s="19" t="str">
        <f aca="false">IF(C54&gt;=D54, "SIM", "NÃO")</f>
        <v>NÃO</v>
      </c>
    </row>
    <row r="55" customFormat="false" ht="12.8" hidden="false" customHeight="false" outlineLevel="0" collapsed="false">
      <c r="A55" s="19" t="n">
        <f aca="false">A54+1</f>
        <v>48</v>
      </c>
      <c r="B55" s="23" t="n">
        <f aca="false">E54</f>
        <v>9156.74177785428</v>
      </c>
      <c r="C55" s="23" t="n">
        <f aca="false">B55*$B$3</f>
        <v>91.5674177785428</v>
      </c>
      <c r="D55" s="19" t="n">
        <f aca="false">$B$2</f>
        <v>100</v>
      </c>
      <c r="E55" s="23" t="n">
        <f aca="false">B55+C55+D55</f>
        <v>9348.30919563282</v>
      </c>
      <c r="F55" s="19" t="str">
        <f aca="false">IF(C55&gt;=D55, "SIM", "NÃO")</f>
        <v>NÃO</v>
      </c>
    </row>
    <row r="56" customFormat="false" ht="12.8" hidden="false" customHeight="false" outlineLevel="0" collapsed="false">
      <c r="A56" s="19" t="n">
        <f aca="false">A55+1</f>
        <v>49</v>
      </c>
      <c r="B56" s="23" t="n">
        <f aca="false">E55</f>
        <v>9348.30919563282</v>
      </c>
      <c r="C56" s="23" t="n">
        <f aca="false">B56*$B$3</f>
        <v>93.4830919563282</v>
      </c>
      <c r="D56" s="19" t="n">
        <f aca="false">$B$2</f>
        <v>100</v>
      </c>
      <c r="E56" s="23" t="n">
        <f aca="false">B56+C56+D56</f>
        <v>9541.79228758915</v>
      </c>
      <c r="F56" s="19" t="str">
        <f aca="false">IF(C56&gt;=D56, "SIM", "NÃO")</f>
        <v>NÃO</v>
      </c>
    </row>
    <row r="57" customFormat="false" ht="12.8" hidden="false" customHeight="false" outlineLevel="0" collapsed="false">
      <c r="A57" s="19" t="n">
        <f aca="false">A56+1</f>
        <v>50</v>
      </c>
      <c r="B57" s="23" t="n">
        <f aca="false">E56</f>
        <v>9541.79228758915</v>
      </c>
      <c r="C57" s="23" t="n">
        <f aca="false">B57*$B$3</f>
        <v>95.4179228758915</v>
      </c>
      <c r="D57" s="19" t="n">
        <f aca="false">$B$2</f>
        <v>100</v>
      </c>
      <c r="E57" s="23" t="n">
        <f aca="false">B57+C57+D57</f>
        <v>9737.21021046504</v>
      </c>
      <c r="F57" s="19" t="str">
        <f aca="false">IF(C57&gt;=D57, "SIM", "NÃO")</f>
        <v>NÃO</v>
      </c>
    </row>
    <row r="58" customFormat="false" ht="12.8" hidden="false" customHeight="false" outlineLevel="0" collapsed="false">
      <c r="A58" s="19" t="n">
        <f aca="false">A57+1</f>
        <v>51</v>
      </c>
      <c r="B58" s="23" t="n">
        <f aca="false">E57</f>
        <v>9737.21021046504</v>
      </c>
      <c r="C58" s="23" t="n">
        <f aca="false">B58*$B$3</f>
        <v>97.3721021046504</v>
      </c>
      <c r="D58" s="19" t="n">
        <f aca="false">$B$2</f>
        <v>100</v>
      </c>
      <c r="E58" s="23" t="n">
        <f aca="false">B58+C58+D58</f>
        <v>9934.58231256969</v>
      </c>
      <c r="F58" s="19" t="str">
        <f aca="false">IF(C58&gt;=D58, "SIM", "NÃO")</f>
        <v>NÃO</v>
      </c>
    </row>
    <row r="59" customFormat="false" ht="12.8" hidden="false" customHeight="false" outlineLevel="0" collapsed="false">
      <c r="A59" s="19" t="n">
        <f aca="false">A58+1</f>
        <v>52</v>
      </c>
      <c r="B59" s="23" t="n">
        <f aca="false">E58</f>
        <v>9934.58231256969</v>
      </c>
      <c r="C59" s="23" t="n">
        <f aca="false">B59*$B$3</f>
        <v>99.3458231256969</v>
      </c>
      <c r="D59" s="19" t="n">
        <f aca="false">$B$2</f>
        <v>100</v>
      </c>
      <c r="E59" s="23" t="n">
        <f aca="false">B59+C59+D59</f>
        <v>10133.9281356954</v>
      </c>
      <c r="F59" s="19" t="str">
        <f aca="false">IF(C59&gt;=D59, "SIM", "NÃO")</f>
        <v>NÃO</v>
      </c>
    </row>
    <row r="60" customFormat="false" ht="12.8" hidden="false" customHeight="false" outlineLevel="0" collapsed="false">
      <c r="A60" s="19" t="n">
        <f aca="false">A59+1</f>
        <v>53</v>
      </c>
      <c r="B60" s="23" t="n">
        <f aca="false">E59</f>
        <v>10133.9281356954</v>
      </c>
      <c r="C60" s="23" t="n">
        <f aca="false">B60*$B$3</f>
        <v>101.339281356954</v>
      </c>
      <c r="D60" s="19" t="n">
        <f aca="false">$B$2</f>
        <v>100</v>
      </c>
      <c r="E60" s="23" t="n">
        <f aca="false">B60+C60+D60</f>
        <v>10335.2674170523</v>
      </c>
      <c r="F60" s="19" t="str">
        <f aca="false">IF(C60&gt;=D60, "SIM", "NÃO")</f>
        <v>SIM</v>
      </c>
    </row>
    <row r="61" customFormat="false" ht="12.8" hidden="false" customHeight="false" outlineLevel="0" collapsed="false">
      <c r="A61" s="19" t="n">
        <f aca="false">A60+1</f>
        <v>54</v>
      </c>
      <c r="B61" s="23" t="n">
        <f aca="false">E60</f>
        <v>10335.2674170523</v>
      </c>
      <c r="C61" s="23" t="n">
        <f aca="false">B61*$B$3</f>
        <v>103.352674170523</v>
      </c>
      <c r="D61" s="19" t="n">
        <f aca="false">$B$2</f>
        <v>100</v>
      </c>
      <c r="E61" s="23" t="n">
        <f aca="false">B61+C61+D61</f>
        <v>10538.6200912229</v>
      </c>
      <c r="F61" s="19" t="str">
        <f aca="false">IF(C61&gt;=D61, "SIM", "NÃO")</f>
        <v>SIM</v>
      </c>
    </row>
    <row r="62" customFormat="false" ht="12.8" hidden="false" customHeight="false" outlineLevel="0" collapsed="false">
      <c r="A62" s="19" t="n">
        <f aca="false">A61+1</f>
        <v>55</v>
      </c>
      <c r="B62" s="23" t="n">
        <f aca="false">E61</f>
        <v>10538.6200912229</v>
      </c>
      <c r="C62" s="23" t="n">
        <f aca="false">B62*$B$3</f>
        <v>105.386200912229</v>
      </c>
      <c r="D62" s="19" t="n">
        <f aca="false">$B$2</f>
        <v>100</v>
      </c>
      <c r="E62" s="23" t="n">
        <f aca="false">B62+C62+D62</f>
        <v>10744.0062921351</v>
      </c>
      <c r="F62" s="19" t="str">
        <f aca="false">IF(C62&gt;=D62, "SIM", "NÃO")</f>
        <v>SIM</v>
      </c>
    </row>
    <row r="63" customFormat="false" ht="12.8" hidden="false" customHeight="false" outlineLevel="0" collapsed="false">
      <c r="A63" s="19" t="n">
        <f aca="false">A62+1</f>
        <v>56</v>
      </c>
      <c r="B63" s="23" t="n">
        <f aca="false">E62</f>
        <v>10744.0062921351</v>
      </c>
      <c r="C63" s="23" t="n">
        <f aca="false">B63*$B$3</f>
        <v>107.440062921351</v>
      </c>
      <c r="D63" s="19" t="n">
        <f aca="false">$B$2</f>
        <v>100</v>
      </c>
      <c r="E63" s="23" t="n">
        <f aca="false">B63+C63+D63</f>
        <v>10951.4463550564</v>
      </c>
      <c r="F63" s="19" t="str">
        <f aca="false">IF(C63&gt;=D63, "SIM", "NÃO")</f>
        <v>SIM</v>
      </c>
    </row>
    <row r="64" customFormat="false" ht="12.8" hidden="false" customHeight="false" outlineLevel="0" collapsed="false">
      <c r="A64" s="19" t="n">
        <f aca="false">A63+1</f>
        <v>57</v>
      </c>
      <c r="B64" s="23" t="n">
        <f aca="false">E63</f>
        <v>10951.4463550564</v>
      </c>
      <c r="C64" s="23" t="n">
        <f aca="false">B64*$B$3</f>
        <v>109.514463550564</v>
      </c>
      <c r="D64" s="19" t="n">
        <f aca="false">$B$2</f>
        <v>100</v>
      </c>
      <c r="E64" s="23" t="n">
        <f aca="false">B64+C64+D64</f>
        <v>11160.960818607</v>
      </c>
      <c r="F64" s="19" t="str">
        <f aca="false">IF(C64&gt;=D64, "SIM", "NÃO")</f>
        <v>SIM</v>
      </c>
    </row>
    <row r="65" customFormat="false" ht="12.8" hidden="false" customHeight="false" outlineLevel="0" collapsed="false">
      <c r="A65" s="19" t="n">
        <f aca="false">A64+1</f>
        <v>58</v>
      </c>
      <c r="B65" s="23" t="n">
        <f aca="false">E64</f>
        <v>11160.960818607</v>
      </c>
      <c r="C65" s="23" t="n">
        <f aca="false">B65*$B$3</f>
        <v>111.60960818607</v>
      </c>
      <c r="D65" s="19" t="n">
        <f aca="false">$B$2</f>
        <v>100</v>
      </c>
      <c r="E65" s="23" t="n">
        <f aca="false">B65+C65+D65</f>
        <v>11372.5704267931</v>
      </c>
      <c r="F65" s="19" t="str">
        <f aca="false">IF(C65&gt;=D65, "SIM", "NÃO")</f>
        <v>SIM</v>
      </c>
    </row>
    <row r="66" customFormat="false" ht="12.8" hidden="false" customHeight="false" outlineLevel="0" collapsed="false">
      <c r="A66" s="19" t="n">
        <f aca="false">A65+1</f>
        <v>59</v>
      </c>
      <c r="B66" s="23" t="n">
        <f aca="false">E65</f>
        <v>11372.5704267931</v>
      </c>
      <c r="C66" s="23" t="n">
        <f aca="false">B66*$B$3</f>
        <v>113.725704267931</v>
      </c>
      <c r="D66" s="19" t="n">
        <f aca="false">$B$2</f>
        <v>100</v>
      </c>
      <c r="E66" s="23" t="n">
        <f aca="false">B66+C66+D66</f>
        <v>11586.296131061</v>
      </c>
      <c r="F66" s="19" t="str">
        <f aca="false">IF(C66&gt;=D66, "SIM", "NÃO")</f>
        <v>SIM</v>
      </c>
    </row>
    <row r="67" customFormat="false" ht="12.8" hidden="false" customHeight="false" outlineLevel="0" collapsed="false">
      <c r="A67" s="19" t="n">
        <f aca="false">A66+1</f>
        <v>60</v>
      </c>
      <c r="B67" s="23" t="n">
        <f aca="false">E66</f>
        <v>11586.296131061</v>
      </c>
      <c r="C67" s="23" t="n">
        <f aca="false">B67*$B$3</f>
        <v>115.86296131061</v>
      </c>
      <c r="D67" s="19" t="n">
        <f aca="false">$B$2</f>
        <v>100</v>
      </c>
      <c r="E67" s="23" t="n">
        <f aca="false">B67+C67+D67</f>
        <v>11802.1590923716</v>
      </c>
      <c r="F67" s="19" t="str">
        <f aca="false">IF(C67&gt;=D67, "SIM", "NÃO")</f>
        <v>SIM</v>
      </c>
    </row>
    <row r="68" customFormat="false" ht="12.8" hidden="false" customHeight="false" outlineLevel="0" collapsed="false">
      <c r="A68" s="19" t="n">
        <f aca="false">A67+1</f>
        <v>61</v>
      </c>
      <c r="B68" s="23" t="n">
        <f aca="false">E67</f>
        <v>11802.1590923716</v>
      </c>
      <c r="C68" s="23" t="n">
        <f aca="false">B68*$B$3</f>
        <v>118.021590923716</v>
      </c>
      <c r="D68" s="19" t="n">
        <f aca="false">$B$2</f>
        <v>100</v>
      </c>
      <c r="E68" s="23" t="n">
        <f aca="false">B68+C68+D68</f>
        <v>12020.1806832953</v>
      </c>
      <c r="F68" s="19" t="str">
        <f aca="false">IF(C68&gt;=D68, "SIM", "NÃO")</f>
        <v>SIM</v>
      </c>
    </row>
    <row r="69" customFormat="false" ht="12.8" hidden="false" customHeight="false" outlineLevel="0" collapsed="false">
      <c r="A69" s="19" t="n">
        <f aca="false">A68+1</f>
        <v>62</v>
      </c>
      <c r="B69" s="23" t="n">
        <f aca="false">E68</f>
        <v>12020.1806832953</v>
      </c>
      <c r="C69" s="23" t="n">
        <f aca="false">B69*$B$3</f>
        <v>120.201806832953</v>
      </c>
      <c r="D69" s="19" t="n">
        <f aca="false">$B$2</f>
        <v>100</v>
      </c>
      <c r="E69" s="23" t="n">
        <f aca="false">B69+C69+D69</f>
        <v>12240.3824901283</v>
      </c>
      <c r="F69" s="19" t="str">
        <f aca="false">IF(C69&gt;=D69, "SIM", "NÃO")</f>
        <v>SIM</v>
      </c>
    </row>
    <row r="70" customFormat="false" ht="12.8" hidden="false" customHeight="false" outlineLevel="0" collapsed="false">
      <c r="A70" s="19" t="n">
        <f aca="false">A69+1</f>
        <v>63</v>
      </c>
      <c r="B70" s="23" t="n">
        <f aca="false">E69</f>
        <v>12240.3824901283</v>
      </c>
      <c r="C70" s="23" t="n">
        <f aca="false">B70*$B$3</f>
        <v>122.403824901283</v>
      </c>
      <c r="D70" s="19" t="n">
        <f aca="false">$B$2</f>
        <v>100</v>
      </c>
      <c r="E70" s="23" t="n">
        <f aca="false">B70+C70+D70</f>
        <v>12462.7863150296</v>
      </c>
      <c r="F70" s="19" t="str">
        <f aca="false">IF(C70&gt;=D70, "SIM", "NÃO")</f>
        <v>SIM</v>
      </c>
    </row>
    <row r="71" customFormat="false" ht="12.8" hidden="false" customHeight="false" outlineLevel="0" collapsed="false">
      <c r="A71" s="19" t="n">
        <f aca="false">A70+1</f>
        <v>64</v>
      </c>
      <c r="B71" s="23" t="n">
        <f aca="false">E70</f>
        <v>12462.7863150296</v>
      </c>
      <c r="C71" s="23" t="n">
        <f aca="false">B71*$B$3</f>
        <v>124.627863150296</v>
      </c>
      <c r="D71" s="19" t="n">
        <f aca="false">$B$2</f>
        <v>100</v>
      </c>
      <c r="E71" s="23" t="n">
        <f aca="false">B71+C71+D71</f>
        <v>12687.4141781799</v>
      </c>
      <c r="F71" s="19" t="str">
        <f aca="false">IF(C71&gt;=D71, "SIM", "NÃO")</f>
        <v>SIM</v>
      </c>
    </row>
    <row r="72" customFormat="false" ht="12.8" hidden="false" customHeight="false" outlineLevel="0" collapsed="false">
      <c r="A72" s="19" t="n">
        <f aca="false">A71+1</f>
        <v>65</v>
      </c>
      <c r="B72" s="23" t="n">
        <f aca="false">E71</f>
        <v>12687.4141781799</v>
      </c>
      <c r="C72" s="23" t="n">
        <f aca="false">B72*$B$3</f>
        <v>126.874141781799</v>
      </c>
      <c r="D72" s="19" t="n">
        <f aca="false">$B$2</f>
        <v>100</v>
      </c>
      <c r="E72" s="23" t="n">
        <f aca="false">B72+C72+D72</f>
        <v>12914.2883199617</v>
      </c>
      <c r="F72" s="19" t="str">
        <f aca="false">IF(C72&gt;=D72, "SIM", "NÃO")</f>
        <v>SIM</v>
      </c>
    </row>
    <row r="73" customFormat="false" ht="12.8" hidden="false" customHeight="false" outlineLevel="0" collapsed="false">
      <c r="A73" s="19" t="n">
        <f aca="false">A72+1</f>
        <v>66</v>
      </c>
      <c r="B73" s="23" t="n">
        <f aca="false">E72</f>
        <v>12914.2883199617</v>
      </c>
      <c r="C73" s="23" t="n">
        <f aca="false">B73*$B$3</f>
        <v>129.142883199617</v>
      </c>
      <c r="D73" s="19" t="n">
        <f aca="false">$B$2</f>
        <v>100</v>
      </c>
      <c r="E73" s="23" t="n">
        <f aca="false">B73+C73+D73</f>
        <v>13143.4312031613</v>
      </c>
      <c r="F73" s="19" t="str">
        <f aca="false">IF(C73&gt;=D73, "SIM", "NÃO")</f>
        <v>SIM</v>
      </c>
    </row>
    <row r="74" customFormat="false" ht="12.8" hidden="false" customHeight="false" outlineLevel="0" collapsed="false">
      <c r="A74" s="19" t="n">
        <f aca="false">A73+1</f>
        <v>67</v>
      </c>
      <c r="B74" s="23" t="n">
        <f aca="false">E73</f>
        <v>13143.4312031613</v>
      </c>
      <c r="C74" s="23" t="n">
        <f aca="false">B74*$B$3</f>
        <v>131.434312031613</v>
      </c>
      <c r="D74" s="19" t="n">
        <f aca="false">$B$2</f>
        <v>100</v>
      </c>
      <c r="E74" s="23" t="n">
        <f aca="false">B74+C74+D74</f>
        <v>13374.8655151929</v>
      </c>
      <c r="F74" s="19" t="str">
        <f aca="false">IF(C74&gt;=D74, "SIM", "NÃO")</f>
        <v>SIM</v>
      </c>
    </row>
    <row r="75" customFormat="false" ht="12.8" hidden="false" customHeight="false" outlineLevel="0" collapsed="false">
      <c r="A75" s="19" t="n">
        <f aca="false">A74+1</f>
        <v>68</v>
      </c>
      <c r="B75" s="23" t="n">
        <f aca="false">E74</f>
        <v>13374.8655151929</v>
      </c>
      <c r="C75" s="23" t="n">
        <f aca="false">B75*$B$3</f>
        <v>133.748655151929</v>
      </c>
      <c r="D75" s="19" t="n">
        <f aca="false">$B$2</f>
        <v>100</v>
      </c>
      <c r="E75" s="23" t="n">
        <f aca="false">B75+C75+D75</f>
        <v>13608.6141703448</v>
      </c>
      <c r="F75" s="19" t="str">
        <f aca="false">IF(C75&gt;=D75, "SIM", "NÃO")</f>
        <v>SIM</v>
      </c>
    </row>
    <row r="76" customFormat="false" ht="12.8" hidden="false" customHeight="false" outlineLevel="0" collapsed="false">
      <c r="A76" s="19" t="n">
        <f aca="false">A75+1</f>
        <v>69</v>
      </c>
      <c r="B76" s="23" t="n">
        <f aca="false">E75</f>
        <v>13608.6141703448</v>
      </c>
      <c r="C76" s="23" t="n">
        <f aca="false">B76*$B$3</f>
        <v>136.086141703448</v>
      </c>
      <c r="D76" s="19" t="n">
        <f aca="false">$B$2</f>
        <v>100</v>
      </c>
      <c r="E76" s="23" t="n">
        <f aca="false">B76+C76+D76</f>
        <v>13844.7003120483</v>
      </c>
      <c r="F76" s="19" t="str">
        <f aca="false">IF(C76&gt;=D76, "SIM", "NÃO")</f>
        <v>SIM</v>
      </c>
    </row>
    <row r="77" customFormat="false" ht="12.8" hidden="false" customHeight="false" outlineLevel="0" collapsed="false">
      <c r="A77" s="19" t="n">
        <f aca="false">A76+1</f>
        <v>70</v>
      </c>
      <c r="B77" s="23" t="n">
        <f aca="false">E76</f>
        <v>13844.7003120483</v>
      </c>
      <c r="C77" s="23" t="n">
        <f aca="false">B77*$B$3</f>
        <v>138.447003120483</v>
      </c>
      <c r="D77" s="19" t="n">
        <f aca="false">$B$2</f>
        <v>100</v>
      </c>
      <c r="E77" s="23" t="n">
        <f aca="false">B77+C77+D77</f>
        <v>14083.1473151688</v>
      </c>
      <c r="F77" s="19" t="str">
        <f aca="false">IF(C77&gt;=D77, "SIM", "NÃO")</f>
        <v>SIM</v>
      </c>
    </row>
    <row r="78" customFormat="false" ht="12.8" hidden="false" customHeight="false" outlineLevel="0" collapsed="false">
      <c r="A78" s="19" t="n">
        <f aca="false">A77+1</f>
        <v>71</v>
      </c>
      <c r="B78" s="23" t="n">
        <f aca="false">E77</f>
        <v>14083.1473151688</v>
      </c>
      <c r="C78" s="23" t="n">
        <f aca="false">B78*$B$3</f>
        <v>140.831473151688</v>
      </c>
      <c r="D78" s="19" t="n">
        <f aca="false">$B$2</f>
        <v>100</v>
      </c>
      <c r="E78" s="23" t="n">
        <f aca="false">B78+C78+D78</f>
        <v>14323.9787883204</v>
      </c>
      <c r="F78" s="19" t="str">
        <f aca="false">IF(C78&gt;=D78, "SIM", "NÃO")</f>
        <v>SIM</v>
      </c>
    </row>
    <row r="79" customFormat="false" ht="12.8" hidden="false" customHeight="false" outlineLevel="0" collapsed="false">
      <c r="A79" s="19" t="n">
        <f aca="false">A78+1</f>
        <v>72</v>
      </c>
      <c r="B79" s="23" t="n">
        <f aca="false">E78</f>
        <v>14323.9787883204</v>
      </c>
      <c r="C79" s="23" t="n">
        <f aca="false">B79*$B$3</f>
        <v>143.239787883204</v>
      </c>
      <c r="D79" s="19" t="n">
        <f aca="false">$B$2</f>
        <v>100</v>
      </c>
      <c r="E79" s="23" t="n">
        <f aca="false">B79+C79+D79</f>
        <v>14567.2185762036</v>
      </c>
      <c r="F79" s="19" t="str">
        <f aca="false">IF(C79&gt;=D79, "SIM", "NÃO")</f>
        <v>SIM</v>
      </c>
    </row>
    <row r="80" customFormat="false" ht="12.8" hidden="false" customHeight="false" outlineLevel="0" collapsed="false">
      <c r="A80" s="19" t="n">
        <f aca="false">A79+1</f>
        <v>73</v>
      </c>
      <c r="B80" s="23" t="n">
        <f aca="false">E79</f>
        <v>14567.2185762036</v>
      </c>
      <c r="C80" s="23" t="n">
        <f aca="false">B80*$B$3</f>
        <v>145.672185762036</v>
      </c>
      <c r="D80" s="19" t="n">
        <f aca="false">$B$2</f>
        <v>100</v>
      </c>
      <c r="E80" s="23" t="n">
        <f aca="false">B80+C80+D80</f>
        <v>14812.8907619657</v>
      </c>
      <c r="F80" s="19" t="str">
        <f aca="false">IF(C80&gt;=D80, "SIM", "NÃO")</f>
        <v>SIM</v>
      </c>
    </row>
    <row r="81" customFormat="false" ht="12.8" hidden="false" customHeight="false" outlineLevel="0" collapsed="false">
      <c r="A81" s="19" t="n">
        <f aca="false">A80+1</f>
        <v>74</v>
      </c>
      <c r="B81" s="23" t="n">
        <f aca="false">E80</f>
        <v>14812.8907619657</v>
      </c>
      <c r="C81" s="23" t="n">
        <f aca="false">B81*$B$3</f>
        <v>148.128907619657</v>
      </c>
      <c r="D81" s="19" t="n">
        <f aca="false">$B$2</f>
        <v>100</v>
      </c>
      <c r="E81" s="23" t="n">
        <f aca="false">B81+C81+D81</f>
        <v>15061.0196695853</v>
      </c>
      <c r="F81" s="19" t="str">
        <f aca="false">IF(C81&gt;=D81, "SIM", "NÃO")</f>
        <v>SIM</v>
      </c>
    </row>
    <row r="82" customFormat="false" ht="12.8" hidden="false" customHeight="false" outlineLevel="0" collapsed="false">
      <c r="A82" s="19" t="n">
        <f aca="false">A81+1</f>
        <v>75</v>
      </c>
      <c r="B82" s="23" t="n">
        <f aca="false">E81</f>
        <v>15061.0196695853</v>
      </c>
      <c r="C82" s="23" t="n">
        <f aca="false">B82*$B$3</f>
        <v>150.610196695853</v>
      </c>
      <c r="D82" s="19" t="n">
        <f aca="false">$B$2</f>
        <v>100</v>
      </c>
      <c r="E82" s="23" t="n">
        <f aca="false">B82+C82+D82</f>
        <v>15311.6298662812</v>
      </c>
      <c r="F82" s="19" t="str">
        <f aca="false">IF(C82&gt;=D82, "SIM", "NÃO")</f>
        <v>SIM</v>
      </c>
    </row>
    <row r="83" customFormat="false" ht="12.8" hidden="false" customHeight="false" outlineLevel="0" collapsed="false">
      <c r="A83" s="19" t="n">
        <f aca="false">A82+1</f>
        <v>76</v>
      </c>
      <c r="B83" s="23" t="n">
        <f aca="false">E82</f>
        <v>15311.6298662812</v>
      </c>
      <c r="C83" s="23" t="n">
        <f aca="false">B83*$B$3</f>
        <v>153.116298662812</v>
      </c>
      <c r="D83" s="19" t="n">
        <f aca="false">$B$2</f>
        <v>100</v>
      </c>
      <c r="E83" s="23" t="n">
        <f aca="false">B83+C83+D83</f>
        <v>15564.746164944</v>
      </c>
      <c r="F83" s="19" t="str">
        <f aca="false">IF(C83&gt;=D83, "SIM", "NÃO")</f>
        <v>SIM</v>
      </c>
    </row>
    <row r="84" customFormat="false" ht="12.8" hidden="false" customHeight="false" outlineLevel="0" collapsed="false">
      <c r="A84" s="19" t="n">
        <f aca="false">A83+1</f>
        <v>77</v>
      </c>
      <c r="B84" s="23" t="n">
        <f aca="false">E83</f>
        <v>15564.746164944</v>
      </c>
      <c r="C84" s="23" t="n">
        <f aca="false">B84*$B$3</f>
        <v>155.64746164944</v>
      </c>
      <c r="D84" s="19" t="n">
        <f aca="false">$B$2</f>
        <v>100</v>
      </c>
      <c r="E84" s="23" t="n">
        <f aca="false">B84+C84+D84</f>
        <v>15820.3936265934</v>
      </c>
      <c r="F84" s="19" t="str">
        <f aca="false">IF(C84&gt;=D84, "SIM", "NÃO")</f>
        <v>SIM</v>
      </c>
    </row>
    <row r="85" customFormat="false" ht="12.8" hidden="false" customHeight="false" outlineLevel="0" collapsed="false">
      <c r="A85" s="19" t="n">
        <f aca="false">A84+1</f>
        <v>78</v>
      </c>
      <c r="B85" s="23" t="n">
        <f aca="false">E84</f>
        <v>15820.3936265934</v>
      </c>
      <c r="C85" s="23" t="n">
        <f aca="false">B85*$B$3</f>
        <v>158.203936265934</v>
      </c>
      <c r="D85" s="19" t="n">
        <f aca="false">$B$2</f>
        <v>100</v>
      </c>
      <c r="E85" s="23" t="n">
        <f aca="false">B85+C85+D85</f>
        <v>16078.5975628594</v>
      </c>
      <c r="F85" s="19" t="str">
        <f aca="false">IF(C85&gt;=D85, "SIM", "NÃO")</f>
        <v>SIM</v>
      </c>
    </row>
    <row r="86" customFormat="false" ht="12.8" hidden="false" customHeight="false" outlineLevel="0" collapsed="false">
      <c r="A86" s="19" t="n">
        <f aca="false">A85+1</f>
        <v>79</v>
      </c>
      <c r="B86" s="23" t="n">
        <f aca="false">E85</f>
        <v>16078.5975628594</v>
      </c>
      <c r="C86" s="23" t="n">
        <f aca="false">B86*$B$3</f>
        <v>160.785975628594</v>
      </c>
      <c r="D86" s="19" t="n">
        <f aca="false">$B$2</f>
        <v>100</v>
      </c>
      <c r="E86" s="23" t="n">
        <f aca="false">B86+C86+D86</f>
        <v>16339.383538488</v>
      </c>
      <c r="F86" s="19" t="str">
        <f aca="false">IF(C86&gt;=D86, "SIM", "NÃO")</f>
        <v>SIM</v>
      </c>
    </row>
    <row r="87" customFormat="false" ht="12.8" hidden="false" customHeight="false" outlineLevel="0" collapsed="false">
      <c r="A87" s="19" t="n">
        <f aca="false">A86+1</f>
        <v>80</v>
      </c>
      <c r="B87" s="23" t="n">
        <f aca="false">E86</f>
        <v>16339.383538488</v>
      </c>
      <c r="C87" s="23" t="n">
        <f aca="false">B87*$B$3</f>
        <v>163.39383538488</v>
      </c>
      <c r="D87" s="19" t="n">
        <f aca="false">$B$2</f>
        <v>100</v>
      </c>
      <c r="E87" s="23" t="n">
        <f aca="false">B87+C87+D87</f>
        <v>16602.7773738729</v>
      </c>
      <c r="F87" s="19" t="str">
        <f aca="false">IF(C87&gt;=D87, "SIM", "NÃO")</f>
        <v>SIM</v>
      </c>
    </row>
    <row r="88" customFormat="false" ht="12.8" hidden="false" customHeight="false" outlineLevel="0" collapsed="false">
      <c r="A88" s="19" t="n">
        <f aca="false">A87+1</f>
        <v>81</v>
      </c>
      <c r="B88" s="23" t="n">
        <f aca="false">E87</f>
        <v>16602.7773738729</v>
      </c>
      <c r="C88" s="23" t="n">
        <f aca="false">B88*$B$3</f>
        <v>166.027773738729</v>
      </c>
      <c r="D88" s="19" t="n">
        <f aca="false">$B$2</f>
        <v>100</v>
      </c>
      <c r="E88" s="23" t="n">
        <f aca="false">B88+C88+D88</f>
        <v>16868.8051476116</v>
      </c>
      <c r="F88" s="19" t="str">
        <f aca="false">IF(C88&gt;=D88, "SIM", "NÃO")</f>
        <v>SIM</v>
      </c>
    </row>
    <row r="89" customFormat="false" ht="12.8" hidden="false" customHeight="false" outlineLevel="0" collapsed="false">
      <c r="A89" s="19" t="n">
        <f aca="false">A88+1</f>
        <v>82</v>
      </c>
      <c r="B89" s="23" t="n">
        <f aca="false">E88</f>
        <v>16868.8051476116</v>
      </c>
      <c r="C89" s="23" t="n">
        <f aca="false">B89*$B$3</f>
        <v>168.688051476116</v>
      </c>
      <c r="D89" s="19" t="n">
        <f aca="false">$B$2</f>
        <v>100</v>
      </c>
      <c r="E89" s="23" t="n">
        <f aca="false">B89+C89+D89</f>
        <v>17137.4931990877</v>
      </c>
      <c r="F89" s="19" t="str">
        <f aca="false">IF(C89&gt;=D89, "SIM", "NÃO")</f>
        <v>SIM</v>
      </c>
    </row>
    <row r="90" customFormat="false" ht="12.8" hidden="false" customHeight="false" outlineLevel="0" collapsed="false">
      <c r="A90" s="19" t="n">
        <f aca="false">A89+1</f>
        <v>83</v>
      </c>
      <c r="B90" s="23" t="n">
        <f aca="false">E89</f>
        <v>17137.4931990877</v>
      </c>
      <c r="C90" s="23" t="n">
        <f aca="false">B90*$B$3</f>
        <v>171.374931990877</v>
      </c>
      <c r="D90" s="19" t="n">
        <f aca="false">$B$2</f>
        <v>100</v>
      </c>
      <c r="E90" s="23" t="n">
        <f aca="false">B90+C90+D90</f>
        <v>17408.8681310786</v>
      </c>
      <c r="F90" s="19" t="str">
        <f aca="false">IF(C90&gt;=D90, "SIM", "NÃO")</f>
        <v>SIM</v>
      </c>
    </row>
    <row r="91" customFormat="false" ht="12.8" hidden="false" customHeight="false" outlineLevel="0" collapsed="false">
      <c r="A91" s="19" t="n">
        <f aca="false">A90+1</f>
        <v>84</v>
      </c>
      <c r="B91" s="23" t="n">
        <f aca="false">E90</f>
        <v>17408.8681310786</v>
      </c>
      <c r="C91" s="23" t="n">
        <f aca="false">B91*$B$3</f>
        <v>174.088681310786</v>
      </c>
      <c r="D91" s="19" t="n">
        <f aca="false">$B$2</f>
        <v>100</v>
      </c>
      <c r="E91" s="23" t="n">
        <f aca="false">B91+C91+D91</f>
        <v>17682.9568123894</v>
      </c>
      <c r="F91" s="19" t="str">
        <f aca="false">IF(C91&gt;=D91, "SIM", "NÃO")</f>
        <v>SIM</v>
      </c>
    </row>
    <row r="92" customFormat="false" ht="12.8" hidden="false" customHeight="false" outlineLevel="0" collapsed="false">
      <c r="A92" s="19" t="n">
        <f aca="false">A91+1</f>
        <v>85</v>
      </c>
      <c r="B92" s="23" t="n">
        <f aca="false">E91</f>
        <v>17682.9568123894</v>
      </c>
      <c r="C92" s="23" t="n">
        <f aca="false">B92*$B$3</f>
        <v>176.829568123894</v>
      </c>
      <c r="D92" s="19" t="n">
        <f aca="false">$B$2</f>
        <v>100</v>
      </c>
      <c r="E92" s="23" t="n">
        <f aca="false">B92+C92+D92</f>
        <v>17959.7863805133</v>
      </c>
      <c r="F92" s="19" t="str">
        <f aca="false">IF(C92&gt;=D92, "SIM", "NÃO")</f>
        <v>SIM</v>
      </c>
    </row>
    <row r="93" customFormat="false" ht="12.8" hidden="false" customHeight="false" outlineLevel="0" collapsed="false">
      <c r="A93" s="19" t="n">
        <f aca="false">A92+1</f>
        <v>86</v>
      </c>
      <c r="B93" s="23" t="n">
        <f aca="false">E92</f>
        <v>17959.7863805133</v>
      </c>
      <c r="C93" s="23" t="n">
        <f aca="false">B93*$B$3</f>
        <v>179.597863805133</v>
      </c>
      <c r="D93" s="19" t="n">
        <f aca="false">$B$2</f>
        <v>100</v>
      </c>
      <c r="E93" s="23" t="n">
        <f aca="false">B93+C93+D93</f>
        <v>18239.3842443184</v>
      </c>
      <c r="F93" s="19" t="str">
        <f aca="false">IF(C93&gt;=D93, "SIM", "NÃO")</f>
        <v>SIM</v>
      </c>
    </row>
    <row r="94" customFormat="false" ht="12.8" hidden="false" customHeight="false" outlineLevel="0" collapsed="false">
      <c r="A94" s="19" t="n">
        <f aca="false">A93+1</f>
        <v>87</v>
      </c>
      <c r="B94" s="23" t="n">
        <f aca="false">E93</f>
        <v>18239.3842443184</v>
      </c>
      <c r="C94" s="23" t="n">
        <f aca="false">B94*$B$3</f>
        <v>182.393842443184</v>
      </c>
      <c r="D94" s="19" t="n">
        <f aca="false">$B$2</f>
        <v>100</v>
      </c>
      <c r="E94" s="23" t="n">
        <f aca="false">B94+C94+D94</f>
        <v>18521.7780867616</v>
      </c>
      <c r="F94" s="19" t="str">
        <f aca="false">IF(C94&gt;=D94, "SIM", "NÃO")</f>
        <v>SIM</v>
      </c>
    </row>
    <row r="95" customFormat="false" ht="12.8" hidden="false" customHeight="false" outlineLevel="0" collapsed="false">
      <c r="A95" s="19" t="n">
        <f aca="false">A94+1</f>
        <v>88</v>
      </c>
      <c r="B95" s="23" t="n">
        <f aca="false">E94</f>
        <v>18521.7780867616</v>
      </c>
      <c r="C95" s="23" t="n">
        <f aca="false">B95*$B$3</f>
        <v>185.217780867616</v>
      </c>
      <c r="D95" s="19" t="n">
        <f aca="false">$B$2</f>
        <v>100</v>
      </c>
      <c r="E95" s="23" t="n">
        <f aca="false">B95+C95+D95</f>
        <v>18806.9958676292</v>
      </c>
      <c r="F95" s="19" t="str">
        <f aca="false">IF(C95&gt;=D95, "SIM", "NÃO")</f>
        <v>SIM</v>
      </c>
    </row>
    <row r="96" customFormat="false" ht="12.8" hidden="false" customHeight="false" outlineLevel="0" collapsed="false">
      <c r="A96" s="19" t="n">
        <f aca="false">A95+1</f>
        <v>89</v>
      </c>
      <c r="B96" s="23" t="n">
        <f aca="false">E95</f>
        <v>18806.9958676292</v>
      </c>
      <c r="C96" s="23" t="n">
        <f aca="false">B96*$B$3</f>
        <v>188.069958676292</v>
      </c>
      <c r="D96" s="19" t="n">
        <f aca="false">$B$2</f>
        <v>100</v>
      </c>
      <c r="E96" s="23" t="n">
        <f aca="false">B96+C96+D96</f>
        <v>19095.0658263055</v>
      </c>
      <c r="F96" s="19" t="str">
        <f aca="false">IF(C96&gt;=D96, "SIM", "NÃO")</f>
        <v>SIM</v>
      </c>
    </row>
    <row r="97" customFormat="false" ht="12.8" hidden="false" customHeight="false" outlineLevel="0" collapsed="false">
      <c r="A97" s="19" t="n">
        <f aca="false">A96+1</f>
        <v>90</v>
      </c>
      <c r="B97" s="23" t="n">
        <f aca="false">E96</f>
        <v>19095.0658263055</v>
      </c>
      <c r="C97" s="23" t="n">
        <f aca="false">B97*$B$3</f>
        <v>190.950658263055</v>
      </c>
      <c r="D97" s="19" t="n">
        <f aca="false">$B$2</f>
        <v>100</v>
      </c>
      <c r="E97" s="23" t="n">
        <f aca="false">B97+C97+D97</f>
        <v>19386.0164845685</v>
      </c>
      <c r="F97" s="19" t="str">
        <f aca="false">IF(C97&gt;=D97, "SIM", "NÃO")</f>
        <v>SIM</v>
      </c>
    </row>
    <row r="98" customFormat="false" ht="12.8" hidden="false" customHeight="false" outlineLevel="0" collapsed="false">
      <c r="A98" s="19" t="n">
        <f aca="false">A97+1</f>
        <v>91</v>
      </c>
      <c r="B98" s="23" t="n">
        <f aca="false">E97</f>
        <v>19386.0164845685</v>
      </c>
      <c r="C98" s="23" t="n">
        <f aca="false">B98*$B$3</f>
        <v>193.860164845685</v>
      </c>
      <c r="D98" s="19" t="n">
        <f aca="false">$B$2</f>
        <v>100</v>
      </c>
      <c r="E98" s="23" t="n">
        <f aca="false">B98+C98+D98</f>
        <v>19679.8766494142</v>
      </c>
      <c r="F98" s="19" t="str">
        <f aca="false">IF(C98&gt;=D98, "SIM", "NÃO")</f>
        <v>SIM</v>
      </c>
    </row>
    <row r="99" customFormat="false" ht="12.8" hidden="false" customHeight="false" outlineLevel="0" collapsed="false">
      <c r="A99" s="19" t="n">
        <f aca="false">A98+1</f>
        <v>92</v>
      </c>
      <c r="B99" s="23" t="n">
        <f aca="false">E98</f>
        <v>19679.8766494142</v>
      </c>
      <c r="C99" s="23" t="n">
        <f aca="false">B99*$B$3</f>
        <v>196.798766494142</v>
      </c>
      <c r="D99" s="19" t="n">
        <f aca="false">$B$2</f>
        <v>100</v>
      </c>
      <c r="E99" s="23" t="n">
        <f aca="false">B99+C99+D99</f>
        <v>19976.6754159084</v>
      </c>
      <c r="F99" s="19" t="str">
        <f aca="false">IF(C99&gt;=D99, "SIM", "NÃO")</f>
        <v>SIM</v>
      </c>
    </row>
    <row r="100" customFormat="false" ht="12.8" hidden="false" customHeight="false" outlineLevel="0" collapsed="false">
      <c r="A100" s="19" t="n">
        <f aca="false">A99+1</f>
        <v>93</v>
      </c>
      <c r="B100" s="23" t="n">
        <f aca="false">E99</f>
        <v>19976.6754159084</v>
      </c>
      <c r="C100" s="23" t="n">
        <f aca="false">B100*$B$3</f>
        <v>199.766754159084</v>
      </c>
      <c r="D100" s="19" t="n">
        <f aca="false">$B$2</f>
        <v>100</v>
      </c>
      <c r="E100" s="23" t="n">
        <f aca="false">B100+C100+D100</f>
        <v>20276.4421700675</v>
      </c>
      <c r="F100" s="19" t="str">
        <f aca="false">IF(C100&gt;=D100, "SIM", "NÃO")</f>
        <v>SIM</v>
      </c>
    </row>
    <row r="101" customFormat="false" ht="12.8" hidden="false" customHeight="false" outlineLevel="0" collapsed="false">
      <c r="A101" s="19" t="n">
        <f aca="false">A100+1</f>
        <v>94</v>
      </c>
      <c r="B101" s="23" t="n">
        <f aca="false">E100</f>
        <v>20276.4421700675</v>
      </c>
      <c r="C101" s="23" t="n">
        <f aca="false">B101*$B$3</f>
        <v>202.764421700675</v>
      </c>
      <c r="D101" s="19" t="n">
        <f aca="false">$B$2</f>
        <v>100</v>
      </c>
      <c r="E101" s="23" t="n">
        <f aca="false">B101+C101+D101</f>
        <v>20579.2065917681</v>
      </c>
      <c r="F101" s="19" t="str">
        <f aca="false">IF(C101&gt;=D101, "SIM", "NÃO")</f>
        <v>SIM</v>
      </c>
    </row>
    <row r="102" customFormat="false" ht="12.8" hidden="false" customHeight="false" outlineLevel="0" collapsed="false">
      <c r="A102" s="19" t="n">
        <f aca="false">A101+1</f>
        <v>95</v>
      </c>
      <c r="B102" s="23" t="n">
        <f aca="false">E101</f>
        <v>20579.2065917681</v>
      </c>
      <c r="C102" s="23" t="n">
        <f aca="false">B102*$B$3</f>
        <v>205.792065917681</v>
      </c>
      <c r="D102" s="19" t="n">
        <f aca="false">$B$2</f>
        <v>100</v>
      </c>
      <c r="E102" s="23" t="n">
        <f aca="false">B102+C102+D102</f>
        <v>20884.9986576858</v>
      </c>
      <c r="F102" s="19" t="str">
        <f aca="false">IF(C102&gt;=D102, "SIM", "NÃO")</f>
        <v>SIM</v>
      </c>
    </row>
    <row r="103" customFormat="false" ht="12.8" hidden="false" customHeight="false" outlineLevel="0" collapsed="false">
      <c r="A103" s="19" t="n">
        <f aca="false">A102+1</f>
        <v>96</v>
      </c>
      <c r="B103" s="23" t="n">
        <f aca="false">E102</f>
        <v>20884.9986576858</v>
      </c>
      <c r="C103" s="23" t="n">
        <f aca="false">B103*$B$3</f>
        <v>208.849986576858</v>
      </c>
      <c r="D103" s="19" t="n">
        <f aca="false">$B$2</f>
        <v>100</v>
      </c>
      <c r="E103" s="23" t="n">
        <f aca="false">B103+C103+D103</f>
        <v>21193.8486442627</v>
      </c>
      <c r="F103" s="19" t="str">
        <f aca="false">IF(C103&gt;=D103, "SIM", "NÃO")</f>
        <v>SIM</v>
      </c>
    </row>
    <row r="104" customFormat="false" ht="12.8" hidden="false" customHeight="false" outlineLevel="0" collapsed="false">
      <c r="A104" s="19" t="n">
        <f aca="false">A103+1</f>
        <v>97</v>
      </c>
      <c r="B104" s="23" t="n">
        <f aca="false">E103</f>
        <v>21193.8486442627</v>
      </c>
      <c r="C104" s="23" t="n">
        <f aca="false">B104*$B$3</f>
        <v>211.938486442627</v>
      </c>
      <c r="D104" s="19" t="n">
        <f aca="false">$B$2</f>
        <v>100</v>
      </c>
      <c r="E104" s="23" t="n">
        <f aca="false">B104+C104+D104</f>
        <v>21505.7871307053</v>
      </c>
      <c r="F104" s="19" t="str">
        <f aca="false">IF(C104&gt;=D104, "SIM", "NÃO")</f>
        <v>SIM</v>
      </c>
    </row>
    <row r="105" customFormat="false" ht="12.8" hidden="false" customHeight="false" outlineLevel="0" collapsed="false">
      <c r="A105" s="19" t="n">
        <f aca="false">A104+1</f>
        <v>98</v>
      </c>
      <c r="B105" s="23" t="n">
        <f aca="false">E104</f>
        <v>21505.7871307053</v>
      </c>
      <c r="C105" s="23" t="n">
        <f aca="false">B105*$B$3</f>
        <v>215.057871307053</v>
      </c>
      <c r="D105" s="19" t="n">
        <f aca="false">$B$2</f>
        <v>100</v>
      </c>
      <c r="E105" s="23" t="n">
        <f aca="false">B105+C105+D105</f>
        <v>21820.8450020123</v>
      </c>
      <c r="F105" s="19" t="str">
        <f aca="false">IF(C105&gt;=D105, "SIM", "NÃO")</f>
        <v>SIM</v>
      </c>
    </row>
    <row r="106" customFormat="false" ht="12.8" hidden="false" customHeight="false" outlineLevel="0" collapsed="false">
      <c r="A106" s="19" t="n">
        <f aca="false">A105+1</f>
        <v>99</v>
      </c>
      <c r="B106" s="23" t="n">
        <f aca="false">E105</f>
        <v>21820.8450020123</v>
      </c>
      <c r="C106" s="23" t="n">
        <f aca="false">B106*$B$3</f>
        <v>218.208450020123</v>
      </c>
      <c r="D106" s="19" t="n">
        <f aca="false">$B$2</f>
        <v>100</v>
      </c>
      <c r="E106" s="23" t="n">
        <f aca="false">B106+C106+D106</f>
        <v>22139.0534520325</v>
      </c>
      <c r="F106" s="19" t="str">
        <f aca="false">IF(C106&gt;=D106, "SIM", "NÃO")</f>
        <v>SIM</v>
      </c>
    </row>
    <row r="107" customFormat="false" ht="12.8" hidden="false" customHeight="false" outlineLevel="0" collapsed="false">
      <c r="A107" s="19" t="n">
        <f aca="false">A106+1</f>
        <v>100</v>
      </c>
      <c r="B107" s="23" t="n">
        <f aca="false">E106</f>
        <v>22139.0534520325</v>
      </c>
      <c r="C107" s="23" t="n">
        <f aca="false">B107*$B$3</f>
        <v>221.390534520325</v>
      </c>
      <c r="D107" s="19" t="n">
        <f aca="false">$B$2</f>
        <v>100</v>
      </c>
      <c r="E107" s="23" t="n">
        <f aca="false">B107+C107+D107</f>
        <v>22460.4439865528</v>
      </c>
      <c r="F107" s="19" t="str">
        <f aca="false">IF(C107&gt;=D107, "SIM", "NÃO")</f>
        <v>SIM</v>
      </c>
    </row>
    <row r="108" customFormat="false" ht="12.8" hidden="false" customHeight="false" outlineLevel="0" collapsed="false">
      <c r="A108" s="19" t="n">
        <f aca="false">A107+1</f>
        <v>101</v>
      </c>
      <c r="B108" s="23" t="n">
        <f aca="false">E107</f>
        <v>22460.4439865528</v>
      </c>
      <c r="C108" s="23" t="n">
        <f aca="false">B108*$B$3</f>
        <v>224.604439865528</v>
      </c>
      <c r="D108" s="19" t="n">
        <f aca="false">$B$2</f>
        <v>100</v>
      </c>
      <c r="E108" s="23" t="n">
        <f aca="false">B108+C108+D108</f>
        <v>22785.0484264183</v>
      </c>
      <c r="F108" s="19" t="str">
        <f aca="false">IF(C108&gt;=D108, "SIM", "NÃO")</f>
        <v>SIM</v>
      </c>
    </row>
    <row r="109" customFormat="false" ht="12.8" hidden="false" customHeight="false" outlineLevel="0" collapsed="false">
      <c r="A109" s="19" t="n">
        <f aca="false">A108+1</f>
        <v>102</v>
      </c>
      <c r="B109" s="23" t="n">
        <f aca="false">E108</f>
        <v>22785.0484264183</v>
      </c>
      <c r="C109" s="23" t="n">
        <f aca="false">B109*$B$3</f>
        <v>227.850484264183</v>
      </c>
      <c r="D109" s="19" t="n">
        <f aca="false">$B$2</f>
        <v>100</v>
      </c>
      <c r="E109" s="23" t="n">
        <f aca="false">B109+C109+D109</f>
        <v>23112.8989106825</v>
      </c>
      <c r="F109" s="19" t="str">
        <f aca="false">IF(C109&gt;=D109, "SIM", "NÃO")</f>
        <v>SIM</v>
      </c>
    </row>
    <row r="110" customFormat="false" ht="12.8" hidden="false" customHeight="false" outlineLevel="0" collapsed="false">
      <c r="A110" s="19" t="n">
        <f aca="false">A109+1</f>
        <v>103</v>
      </c>
      <c r="B110" s="23" t="n">
        <f aca="false">E109</f>
        <v>23112.8989106825</v>
      </c>
      <c r="C110" s="23" t="n">
        <f aca="false">B110*$B$3</f>
        <v>231.128989106825</v>
      </c>
      <c r="D110" s="19" t="n">
        <f aca="false">$B$2</f>
        <v>100</v>
      </c>
      <c r="E110" s="23" t="n">
        <f aca="false">B110+C110+D110</f>
        <v>23444.0278997893</v>
      </c>
      <c r="F110" s="19" t="str">
        <f aca="false">IF(C110&gt;=D110, "SIM", "NÃO")</f>
        <v>SIM</v>
      </c>
    </row>
    <row r="111" customFormat="false" ht="12.8" hidden="false" customHeight="false" outlineLevel="0" collapsed="false">
      <c r="A111" s="19" t="n">
        <f aca="false">A110+1</f>
        <v>104</v>
      </c>
      <c r="B111" s="23" t="n">
        <f aca="false">E110</f>
        <v>23444.0278997893</v>
      </c>
      <c r="C111" s="23" t="n">
        <f aca="false">B111*$B$3</f>
        <v>234.440278997893</v>
      </c>
      <c r="D111" s="19" t="n">
        <f aca="false">$B$2</f>
        <v>100</v>
      </c>
      <c r="E111" s="23" t="n">
        <f aca="false">B111+C111+D111</f>
        <v>23778.4681787872</v>
      </c>
      <c r="F111" s="19" t="str">
        <f aca="false">IF(C111&gt;=D111, "SIM", "NÃO")</f>
        <v>SIM</v>
      </c>
    </row>
    <row r="112" customFormat="false" ht="12.8" hidden="false" customHeight="false" outlineLevel="0" collapsed="false">
      <c r="A112" s="19" t="n">
        <f aca="false">A111+1</f>
        <v>105</v>
      </c>
      <c r="B112" s="23" t="n">
        <f aca="false">E111</f>
        <v>23778.4681787872</v>
      </c>
      <c r="C112" s="23" t="n">
        <f aca="false">B112*$B$3</f>
        <v>237.784681787872</v>
      </c>
      <c r="D112" s="19" t="n">
        <f aca="false">$B$2</f>
        <v>100</v>
      </c>
      <c r="E112" s="23" t="n">
        <f aca="false">B112+C112+D112</f>
        <v>24116.2528605751</v>
      </c>
      <c r="F112" s="19" t="str">
        <f aca="false">IF(C112&gt;=D112, "SIM", "NÃO")</f>
        <v>SIM</v>
      </c>
    </row>
    <row r="113" customFormat="false" ht="12.8" hidden="false" customHeight="false" outlineLevel="0" collapsed="false">
      <c r="A113" s="19" t="n">
        <f aca="false">A112+1</f>
        <v>106</v>
      </c>
      <c r="B113" s="23" t="n">
        <f aca="false">E112</f>
        <v>24116.2528605751</v>
      </c>
      <c r="C113" s="23" t="n">
        <f aca="false">B113*$B$3</f>
        <v>241.162528605751</v>
      </c>
      <c r="D113" s="19" t="n">
        <f aca="false">$B$2</f>
        <v>100</v>
      </c>
      <c r="E113" s="23" t="n">
        <f aca="false">B113+C113+D113</f>
        <v>24457.4153891808</v>
      </c>
      <c r="F113" s="19" t="str">
        <f aca="false">IF(C113&gt;=D113, "SIM", "NÃO")</f>
        <v>SIM</v>
      </c>
    </row>
    <row r="114" customFormat="false" ht="12.8" hidden="false" customHeight="false" outlineLevel="0" collapsed="false">
      <c r="A114" s="19" t="n">
        <f aca="false">A113+1</f>
        <v>107</v>
      </c>
      <c r="B114" s="23" t="n">
        <f aca="false">E113</f>
        <v>24457.4153891808</v>
      </c>
      <c r="C114" s="23" t="n">
        <f aca="false">B114*$B$3</f>
        <v>244.574153891808</v>
      </c>
      <c r="D114" s="19" t="n">
        <f aca="false">$B$2</f>
        <v>100</v>
      </c>
      <c r="E114" s="23" t="n">
        <f aca="false">B114+C114+D114</f>
        <v>24801.9895430727</v>
      </c>
      <c r="F114" s="19" t="str">
        <f aca="false">IF(C114&gt;=D114, "SIM", "NÃO")</f>
        <v>SIM</v>
      </c>
    </row>
    <row r="115" customFormat="false" ht="12.8" hidden="false" customHeight="false" outlineLevel="0" collapsed="false">
      <c r="A115" s="19" t="n">
        <f aca="false">A114+1</f>
        <v>108</v>
      </c>
      <c r="B115" s="23" t="n">
        <f aca="false">E114</f>
        <v>24801.9895430727</v>
      </c>
      <c r="C115" s="23" t="n">
        <f aca="false">B115*$B$3</f>
        <v>248.019895430727</v>
      </c>
      <c r="D115" s="19" t="n">
        <f aca="false">$B$2</f>
        <v>100</v>
      </c>
      <c r="E115" s="23" t="n">
        <f aca="false">B115+C115+D115</f>
        <v>25150.0094385034</v>
      </c>
      <c r="F115" s="19" t="str">
        <f aca="false">IF(C115&gt;=D115, "SIM", "NÃO")</f>
        <v>SIM</v>
      </c>
    </row>
    <row r="116" customFormat="false" ht="12.8" hidden="false" customHeight="false" outlineLevel="0" collapsed="false">
      <c r="A116" s="19" t="n">
        <f aca="false">A115+1</f>
        <v>109</v>
      </c>
      <c r="B116" s="23" t="n">
        <f aca="false">E115</f>
        <v>25150.0094385034</v>
      </c>
      <c r="C116" s="23" t="n">
        <f aca="false">B116*$B$3</f>
        <v>251.500094385034</v>
      </c>
      <c r="D116" s="19" t="n">
        <f aca="false">$B$2</f>
        <v>100</v>
      </c>
      <c r="E116" s="23" t="n">
        <f aca="false">B116+C116+D116</f>
        <v>25501.5095328884</v>
      </c>
      <c r="F116" s="19" t="str">
        <f aca="false">IF(C116&gt;=D116, "SIM", "NÃO")</f>
        <v>SIM</v>
      </c>
    </row>
    <row r="117" customFormat="false" ht="12.8" hidden="false" customHeight="false" outlineLevel="0" collapsed="false">
      <c r="A117" s="19" t="n">
        <f aca="false">A116+1</f>
        <v>110</v>
      </c>
      <c r="B117" s="23" t="n">
        <f aca="false">E116</f>
        <v>25501.5095328884</v>
      </c>
      <c r="C117" s="23" t="n">
        <f aca="false">B117*$B$3</f>
        <v>255.015095328884</v>
      </c>
      <c r="D117" s="19" t="n">
        <f aca="false">$B$2</f>
        <v>100</v>
      </c>
      <c r="E117" s="23" t="n">
        <f aca="false">B117+C117+D117</f>
        <v>25856.5246282173</v>
      </c>
      <c r="F117" s="19" t="str">
        <f aca="false">IF(C117&gt;=D117, "SIM", "NÃO")</f>
        <v>SIM</v>
      </c>
    </row>
    <row r="118" customFormat="false" ht="12.8" hidden="false" customHeight="false" outlineLevel="0" collapsed="false">
      <c r="A118" s="19" t="n">
        <f aca="false">A117+1</f>
        <v>111</v>
      </c>
      <c r="B118" s="23" t="n">
        <f aca="false">E117</f>
        <v>25856.5246282173</v>
      </c>
      <c r="C118" s="23" t="n">
        <f aca="false">B118*$B$3</f>
        <v>258.565246282173</v>
      </c>
      <c r="D118" s="19" t="n">
        <f aca="false">$B$2</f>
        <v>100</v>
      </c>
      <c r="E118" s="23" t="n">
        <f aca="false">B118+C118+D118</f>
        <v>26215.0898744995</v>
      </c>
      <c r="F118" s="19" t="str">
        <f aca="false">IF(C118&gt;=D118, "SIM", "NÃO")</f>
        <v>SIM</v>
      </c>
    </row>
    <row r="119" customFormat="false" ht="12.8" hidden="false" customHeight="false" outlineLevel="0" collapsed="false">
      <c r="A119" s="19" t="n">
        <f aca="false">A118+1</f>
        <v>112</v>
      </c>
      <c r="B119" s="23" t="n">
        <f aca="false">E118</f>
        <v>26215.0898744995</v>
      </c>
      <c r="C119" s="23" t="n">
        <f aca="false">B119*$B$3</f>
        <v>262.150898744995</v>
      </c>
      <c r="D119" s="19" t="n">
        <f aca="false">$B$2</f>
        <v>100</v>
      </c>
      <c r="E119" s="23" t="n">
        <f aca="false">B119+C119+D119</f>
        <v>26577.2407732445</v>
      </c>
      <c r="F119" s="19" t="str">
        <f aca="false">IF(C119&gt;=D119, "SIM", "NÃO")</f>
        <v>SIM</v>
      </c>
    </row>
    <row r="120" customFormat="false" ht="12.8" hidden="false" customHeight="false" outlineLevel="0" collapsed="false">
      <c r="A120" s="19" t="n">
        <f aca="false">A119+1</f>
        <v>113</v>
      </c>
      <c r="B120" s="23" t="n">
        <f aca="false">E119</f>
        <v>26577.2407732445</v>
      </c>
      <c r="C120" s="23" t="n">
        <f aca="false">B120*$B$3</f>
        <v>265.772407732445</v>
      </c>
      <c r="D120" s="19" t="n">
        <f aca="false">$B$2</f>
        <v>100</v>
      </c>
      <c r="E120" s="23" t="n">
        <f aca="false">B120+C120+D120</f>
        <v>26943.0131809769</v>
      </c>
      <c r="F120" s="19" t="str">
        <f aca="false">IF(C120&gt;=D120, "SIM", "NÃO")</f>
        <v>SIM</v>
      </c>
    </row>
    <row r="121" customFormat="false" ht="12.8" hidden="false" customHeight="false" outlineLevel="0" collapsed="false">
      <c r="A121" s="19" t="n">
        <f aca="false">A120+1</f>
        <v>114</v>
      </c>
      <c r="B121" s="23" t="n">
        <f aca="false">E120</f>
        <v>26943.0131809769</v>
      </c>
      <c r="C121" s="23" t="n">
        <f aca="false">B121*$B$3</f>
        <v>269.430131809769</v>
      </c>
      <c r="D121" s="19" t="n">
        <f aca="false">$B$2</f>
        <v>100</v>
      </c>
      <c r="E121" s="23" t="n">
        <f aca="false">B121+C121+D121</f>
        <v>27312.4433127867</v>
      </c>
      <c r="F121" s="19" t="str">
        <f aca="false">IF(C121&gt;=D121, "SIM", "NÃO")</f>
        <v>SIM</v>
      </c>
    </row>
    <row r="122" customFormat="false" ht="12.8" hidden="false" customHeight="false" outlineLevel="0" collapsed="false">
      <c r="A122" s="19" t="n">
        <f aca="false">A121+1</f>
        <v>115</v>
      </c>
      <c r="B122" s="23" t="n">
        <f aca="false">E121</f>
        <v>27312.4433127867</v>
      </c>
      <c r="C122" s="23" t="n">
        <f aca="false">B122*$B$3</f>
        <v>273.124433127867</v>
      </c>
      <c r="D122" s="19" t="n">
        <f aca="false">$B$2</f>
        <v>100</v>
      </c>
      <c r="E122" s="23" t="n">
        <f aca="false">B122+C122+D122</f>
        <v>27685.5677459145</v>
      </c>
      <c r="F122" s="19" t="str">
        <f aca="false">IF(C122&gt;=D122, "SIM", "NÃO")</f>
        <v>SIM</v>
      </c>
    </row>
    <row r="123" customFormat="false" ht="12.8" hidden="false" customHeight="false" outlineLevel="0" collapsed="false">
      <c r="A123" s="19" t="n">
        <f aca="false">A122+1</f>
        <v>116</v>
      </c>
      <c r="B123" s="23" t="n">
        <f aca="false">E122</f>
        <v>27685.5677459145</v>
      </c>
      <c r="C123" s="23" t="n">
        <f aca="false">B123*$B$3</f>
        <v>276.855677459146</v>
      </c>
      <c r="D123" s="19" t="n">
        <f aca="false">$B$2</f>
        <v>100</v>
      </c>
      <c r="E123" s="23" t="n">
        <f aca="false">B123+C123+D123</f>
        <v>28062.4234233737</v>
      </c>
      <c r="F123" s="19" t="str">
        <f aca="false">IF(C123&gt;=D123, "SIM", "NÃO")</f>
        <v>SIM</v>
      </c>
    </row>
    <row r="124" customFormat="false" ht="12.8" hidden="false" customHeight="false" outlineLevel="0" collapsed="false">
      <c r="A124" s="19" t="n">
        <f aca="false">A123+1</f>
        <v>117</v>
      </c>
      <c r="B124" s="23" t="n">
        <f aca="false">E123</f>
        <v>28062.4234233737</v>
      </c>
      <c r="C124" s="23" t="n">
        <f aca="false">B124*$B$3</f>
        <v>280.624234233737</v>
      </c>
      <c r="D124" s="19" t="n">
        <f aca="false">$B$2</f>
        <v>100</v>
      </c>
      <c r="E124" s="23" t="n">
        <f aca="false">B124+C124+D124</f>
        <v>28443.0476576074</v>
      </c>
      <c r="F124" s="19" t="str">
        <f aca="false">IF(C124&gt;=D124, "SIM", "NÃO")</f>
        <v>SIM</v>
      </c>
    </row>
    <row r="125" customFormat="false" ht="12.8" hidden="false" customHeight="false" outlineLevel="0" collapsed="false">
      <c r="A125" s="19" t="n">
        <f aca="false">A124+1</f>
        <v>118</v>
      </c>
      <c r="B125" s="23" t="n">
        <f aca="false">E124</f>
        <v>28443.0476576074</v>
      </c>
      <c r="C125" s="23" t="n">
        <f aca="false">B125*$B$3</f>
        <v>284.430476576074</v>
      </c>
      <c r="D125" s="19" t="n">
        <f aca="false">$B$2</f>
        <v>100</v>
      </c>
      <c r="E125" s="23" t="n">
        <f aca="false">B125+C125+D125</f>
        <v>28827.4781341835</v>
      </c>
      <c r="F125" s="19" t="str">
        <f aca="false">IF(C125&gt;=D125, "SIM", "NÃO")</f>
        <v>SIM</v>
      </c>
    </row>
    <row r="126" customFormat="false" ht="12.8" hidden="false" customHeight="false" outlineLevel="0" collapsed="false">
      <c r="A126" s="19" t="n">
        <f aca="false">A125+1</f>
        <v>119</v>
      </c>
      <c r="B126" s="23" t="n">
        <f aca="false">E125</f>
        <v>28827.4781341835</v>
      </c>
      <c r="C126" s="23" t="n">
        <f aca="false">B126*$B$3</f>
        <v>288.274781341835</v>
      </c>
      <c r="D126" s="19" t="n">
        <f aca="false">$B$2</f>
        <v>100</v>
      </c>
      <c r="E126" s="23" t="n">
        <f aca="false">B126+C126+D126</f>
        <v>29215.7529155253</v>
      </c>
      <c r="F126" s="19" t="str">
        <f aca="false">IF(C126&gt;=D126, "SIM", "NÃO")</f>
        <v>SIM</v>
      </c>
    </row>
    <row r="127" customFormat="false" ht="12.8" hidden="false" customHeight="false" outlineLevel="0" collapsed="false">
      <c r="A127" s="19" t="n">
        <f aca="false">A126+1</f>
        <v>120</v>
      </c>
      <c r="B127" s="23" t="n">
        <f aca="false">E126</f>
        <v>29215.7529155253</v>
      </c>
      <c r="C127" s="23" t="n">
        <f aca="false">B127*$B$3</f>
        <v>292.157529155253</v>
      </c>
      <c r="D127" s="19" t="n">
        <f aca="false">$B$2</f>
        <v>100</v>
      </c>
      <c r="E127" s="23" t="n">
        <f aca="false">B127+C127+D127</f>
        <v>29607.9104446806</v>
      </c>
      <c r="F127" s="19" t="str">
        <f aca="false">IF(C127&gt;=D127, "SIM", "NÃO")</f>
        <v>SIM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2026-02-15T18:33:32Z</dcterms:created>
  <dc:creator/>
  <dc:description/>
  <dc:language>pt-BR</dc:language>
  <cp:lastModifiedBy/>
  <dcterms:modified xsi:type="dcterms:W3CDTF">2026-02-15T19:32:36Z</dcterms:modified>
  <cp:revision>1</cp:revision>
  <dc:subject/>
  <dc:title/>
</cp:coreProperties>
</file>