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ms-excel.sheet.macroEnabled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  <sheet name="Dashboar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<sst xmlns="http://schemas.openxmlformats.org/spreadsheetml/2006/main" count="40" uniqueCount="19">
  <si>
    <t xml:space="preserve">Data</t>
  </si>
  <si>
    <t xml:space="preserve">Vendedor</t>
  </si>
  <si>
    <t xml:space="preserve">Produto</t>
  </si>
  <si>
    <t xml:space="preserve">Quantidade</t>
  </si>
  <si>
    <t xml:space="preserve">Preço Unit.</t>
  </si>
  <si>
    <t xml:space="preserve">Total Vendas</t>
  </si>
  <si>
    <t xml:space="preserve">João</t>
  </si>
  <si>
    <t xml:space="preserve">Notebook</t>
  </si>
  <si>
    <t xml:space="preserve">Maria</t>
  </si>
  <si>
    <t xml:space="preserve">Mouse</t>
  </si>
  <si>
    <t xml:space="preserve">Teclado</t>
  </si>
  <si>
    <t xml:space="preserve">Pedro</t>
  </si>
  <si>
    <t xml:space="preserve">Monitor</t>
  </si>
  <si>
    <t xml:space="preserve">DASHBOARD DE VENDAS - JANEIRO 2026 </t>
  </si>
  <si>
    <t xml:space="preserve">INDICADORES PRINCIPAIS </t>
  </si>
  <si>
    <t xml:space="preserve">Total de Vendas </t>
  </si>
  <si>
    <t xml:space="preserve">Quantidade Vendida </t>
  </si>
  <si>
    <t xml:space="preserve">Maior Venda </t>
  </si>
  <si>
    <t xml:space="preserve">Número de Transações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</si>
</sst>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0.00"/>
    <numFmt numFmtId="167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3"/>
      <name val="Arial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5000B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84D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50E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4B1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Vendas por Vendedor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Dados!$F$1</c:f>
              <c:strCache>
                <c:ptCount val="1"/>
                <c:pt idx="0">
                  <c:v>Total Vendas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Dados!$B$2:$B$15</c:f>
              <c:strCache>
                <c:ptCount val="14"/>
                <c:pt idx="0">
                  <c:v>João</c:v>
                </c:pt>
                <c:pt idx="1">
                  <c:v>Maria</c:v>
                </c:pt>
                <c:pt idx="2">
                  <c:v>João</c:v>
                </c:pt>
                <c:pt idx="3">
                  <c:v>Pedro</c:v>
                </c:pt>
                <c:pt idx="4">
                  <c:v>Maria</c:v>
                </c:pt>
                <c:pt idx="5">
                  <c:v>João</c:v>
                </c:pt>
                <c:pt idx="6">
                  <c:v>Pedro</c:v>
                </c:pt>
                <c:pt idx="7">
                  <c:v>Maria</c:v>
                </c:pt>
                <c:pt idx="8">
                  <c:v>João</c:v>
                </c:pt>
                <c:pt idx="9">
                  <c:v>Pedro</c:v>
                </c:pt>
                <c:pt idx="10">
                  <c:v>Maria</c:v>
                </c:pt>
                <c:pt idx="11">
                  <c:v>João</c:v>
                </c:pt>
                <c:pt idx="12">
                  <c:v>Pedro</c:v>
                </c:pt>
                <c:pt idx="13">
                  <c:v>Maria</c:v>
                </c:pt>
              </c:strCache>
            </c:strRef>
          </c:cat>
          <c:val>
            <c:numRef>
              <c:f>Dados!$F$2:$F$15</c:f>
              <c:numCache>
                <c:formatCode>General</c:formatCode>
                <c:ptCount val="14"/>
                <c:pt idx="0">
                  <c:v>6000</c:v>
                </c:pt>
                <c:pt idx="1">
                  <c:v>500</c:v>
                </c:pt>
                <c:pt idx="2">
                  <c:v>750</c:v>
                </c:pt>
                <c:pt idx="3">
                  <c:v>2400</c:v>
                </c:pt>
                <c:pt idx="4">
                  <c:v>3000</c:v>
                </c:pt>
                <c:pt idx="5">
                  <c:v>750</c:v>
                </c:pt>
                <c:pt idx="6">
                  <c:v>1200</c:v>
                </c:pt>
                <c:pt idx="7">
                  <c:v>1600</c:v>
                </c:pt>
                <c:pt idx="8">
                  <c:v>3000</c:v>
                </c:pt>
                <c:pt idx="9">
                  <c:v>1000</c:v>
                </c:pt>
                <c:pt idx="10">
                  <c:v>1500</c:v>
                </c:pt>
                <c:pt idx="11">
                  <c:v>800</c:v>
                </c:pt>
                <c:pt idx="12">
                  <c:v>9000</c:v>
                </c:pt>
                <c:pt idx="13">
                  <c:v>6000</c:v>
                </c:pt>
              </c:numCache>
            </c:numRef>
          </c:val>
        </c:ser>
        <c:gapWidth val="100"/>
        <c:overlap val="0"/>
        <c:axId val="33486739"/>
        <c:axId val="77349553"/>
      </c:barChart>
      <c:catAx>
        <c:axId val="334867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7349553"/>
        <c:crosses val="autoZero"/>
        <c:auto val="1"/>
        <c:lblAlgn val="ctr"/>
        <c:lblOffset val="100"/>
        <c:noMultiLvlLbl val="0"/>
      </c:catAx>
      <c:valAx>
        <c:axId val="773495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348673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Quantidade por Produto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6107256703544"/>
          <c:y val="0.140071119013224"/>
          <c:w val="0.450215638477405"/>
          <c:h val="0.800422269141016"/>
        </c:manualLayout>
      </c:layout>
      <c:pieChart>
        <c:varyColors val="1"/>
        <c:ser>
          <c:idx val="0"/>
          <c:order val="0"/>
          <c:tx>
            <c:strRef>
              <c:f>Dados!$D$1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9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Dados!$C$2:$C$15</c:f>
              <c:strCache>
                <c:ptCount val="14"/>
                <c:pt idx="0">
                  <c:v>Notebook</c:v>
                </c:pt>
                <c:pt idx="1">
                  <c:v>Mouse</c:v>
                </c:pt>
                <c:pt idx="2">
                  <c:v>Teclado</c:v>
                </c:pt>
                <c:pt idx="3">
                  <c:v>Monitor</c:v>
                </c:pt>
                <c:pt idx="4">
                  <c:v>Notebook</c:v>
                </c:pt>
                <c:pt idx="5">
                  <c:v>Mouse</c:v>
                </c:pt>
                <c:pt idx="6">
                  <c:v>Teclado</c:v>
                </c:pt>
                <c:pt idx="7">
                  <c:v>Monitor</c:v>
                </c:pt>
                <c:pt idx="8">
                  <c:v>Notebook</c:v>
                </c:pt>
                <c:pt idx="9">
                  <c:v>Mouse</c:v>
                </c:pt>
                <c:pt idx="10">
                  <c:v>Teclado</c:v>
                </c:pt>
                <c:pt idx="11">
                  <c:v>Monitor</c:v>
                </c:pt>
                <c:pt idx="12">
                  <c:v>Notebook</c:v>
                </c:pt>
                <c:pt idx="13">
                  <c:v>Notebook</c:v>
                </c:pt>
              </c:strCache>
            </c:strRef>
          </c:cat>
          <c:val>
            <c:numRef>
              <c:f>Dados!$D$2:$D$15</c:f>
              <c:numCache>
                <c:formatCode>General</c:formatCode>
                <c:ptCount val="14"/>
                <c:pt idx="0">
                  <c:v>2</c:v>
                </c:pt>
                <c:pt idx="1">
                  <c:v>10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  <c:pt idx="5">
                  <c:v>15</c:v>
                </c:pt>
                <c:pt idx="6">
                  <c:v>8</c:v>
                </c:pt>
                <c:pt idx="7">
                  <c:v>2</c:v>
                </c:pt>
                <c:pt idx="8">
                  <c:v>1</c:v>
                </c:pt>
                <c:pt idx="9">
                  <c:v>20</c:v>
                </c:pt>
                <c:pt idx="10">
                  <c:v>10</c:v>
                </c:pt>
                <c:pt idx="11">
                  <c:v>1</c:v>
                </c:pt>
                <c:pt idx="12">
                  <c:v>3</c:v>
                </c:pt>
                <c:pt idx="13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Evolução de vendas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Dados!$F$1</c:f>
              <c:strCache>
                <c:ptCount val="1"/>
                <c:pt idx="0">
                  <c:v>Total Vendas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Dados!$A$2:$A$15</c:f>
              <c:strCache>
                <c:ptCount val="14"/>
                <c:pt idx="0">
                  <c:v>01/01/26</c:v>
                </c:pt>
                <c:pt idx="1">
                  <c:v>02/01/26</c:v>
                </c:pt>
                <c:pt idx="2">
                  <c:v>03/01/26</c:v>
                </c:pt>
                <c:pt idx="3">
                  <c:v>05/01/26</c:v>
                </c:pt>
                <c:pt idx="4">
                  <c:v>07/01/26</c:v>
                </c:pt>
                <c:pt idx="5">
                  <c:v>10/01/26</c:v>
                </c:pt>
                <c:pt idx="6">
                  <c:v>12/01/26</c:v>
                </c:pt>
                <c:pt idx="7">
                  <c:v>15/01/26</c:v>
                </c:pt>
                <c:pt idx="8">
                  <c:v>18/01/26</c:v>
                </c:pt>
                <c:pt idx="9">
                  <c:v>20/01/26</c:v>
                </c:pt>
                <c:pt idx="10">
                  <c:v>22/01/26</c:v>
                </c:pt>
                <c:pt idx="11">
                  <c:v>25/01/26</c:v>
                </c:pt>
                <c:pt idx="12">
                  <c:v>28/01/26</c:v>
                </c:pt>
                <c:pt idx="13">
                  <c:v>30/01/26</c:v>
                </c:pt>
              </c:strCache>
            </c:strRef>
          </c:cat>
          <c:val>
            <c:numRef>
              <c:f>Dados!$F$2:$F$15</c:f>
              <c:numCache>
                <c:formatCode>General</c:formatCode>
                <c:ptCount val="14"/>
                <c:pt idx="0">
                  <c:v>6000</c:v>
                </c:pt>
                <c:pt idx="1">
                  <c:v>500</c:v>
                </c:pt>
                <c:pt idx="2">
                  <c:v>750</c:v>
                </c:pt>
                <c:pt idx="3">
                  <c:v>2400</c:v>
                </c:pt>
                <c:pt idx="4">
                  <c:v>3000</c:v>
                </c:pt>
                <c:pt idx="5">
                  <c:v>750</c:v>
                </c:pt>
                <c:pt idx="6">
                  <c:v>1200</c:v>
                </c:pt>
                <c:pt idx="7">
                  <c:v>1600</c:v>
                </c:pt>
                <c:pt idx="8">
                  <c:v>3000</c:v>
                </c:pt>
                <c:pt idx="9">
                  <c:v>1000</c:v>
                </c:pt>
                <c:pt idx="10">
                  <c:v>1500</c:v>
                </c:pt>
                <c:pt idx="11">
                  <c:v>800</c:v>
                </c:pt>
                <c:pt idx="12">
                  <c:v>9000</c:v>
                </c:pt>
                <c:pt idx="13">
                  <c:v>6000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9904409"/>
        <c:axId val="30138586"/>
      </c:lineChart>
      <c:catAx>
        <c:axId val="29904409"/>
        <c:scaling>
          <c:orientation val="minMax"/>
        </c:scaling>
        <c:delete val="0"/>
        <c:axPos val="b"/>
        <c:numFmt formatCode="dd/mm/yy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0138586"/>
        <c:crosses val="autoZero"/>
        <c:auto val="1"/>
        <c:lblAlgn val="ctr"/>
        <c:lblOffset val="100"/>
        <c:noMultiLvlLbl val="0"/>
      </c:catAx>
      <c:valAx>
        <c:axId val="301385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990440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49680</xdr:colOff>
      <xdr:row>16</xdr:row>
      <xdr:rowOff>19080</xdr:rowOff>
    </xdr:from>
    <xdr:to>
      <xdr:col>7</xdr:col>
      <xdr:colOff>119160</xdr:colOff>
      <xdr:row>36</xdr:row>
      <xdr:rowOff>9360</xdr:rowOff>
    </xdr:to>
    <xdr:graphicFrame>
      <xdr:nvGraphicFramePr>
        <xdr:cNvPr id="0" name=""/>
        <xdr:cNvGraphicFramePr/>
      </xdr:nvGraphicFramePr>
      <xdr:xfrm>
        <a:off x="49680" y="2620080"/>
        <a:ext cx="575892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257760</xdr:colOff>
      <xdr:row>16</xdr:row>
      <xdr:rowOff>105120</xdr:rowOff>
    </xdr:from>
    <xdr:to>
      <xdr:col>14</xdr:col>
      <xdr:colOff>326880</xdr:colOff>
      <xdr:row>36</xdr:row>
      <xdr:rowOff>95400</xdr:rowOff>
    </xdr:to>
    <xdr:graphicFrame>
      <xdr:nvGraphicFramePr>
        <xdr:cNvPr id="1" name=""/>
        <xdr:cNvGraphicFramePr/>
      </xdr:nvGraphicFramePr>
      <xdr:xfrm>
        <a:off x="5947200" y="2706120"/>
        <a:ext cx="575892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40</xdr:row>
      <xdr:rowOff>105480</xdr:rowOff>
    </xdr:from>
    <xdr:to>
      <xdr:col>7</xdr:col>
      <xdr:colOff>69480</xdr:colOff>
      <xdr:row>60</xdr:row>
      <xdr:rowOff>95760</xdr:rowOff>
    </xdr:to>
    <xdr:graphicFrame>
      <xdr:nvGraphicFramePr>
        <xdr:cNvPr id="2" name=""/>
        <xdr:cNvGraphicFramePr/>
      </xdr:nvGraphicFramePr>
      <xdr:xfrm>
        <a:off x="0" y="6607800"/>
        <a:ext cx="575892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A16:A2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2" t="n">
        <v>46023</v>
      </c>
      <c r="B2" s="3" t="s">
        <v>6</v>
      </c>
      <c r="C2" s="3" t="s">
        <v>7</v>
      </c>
      <c r="D2" s="3" t="n">
        <v>2</v>
      </c>
      <c r="E2" s="3" t="n">
        <v>3000</v>
      </c>
      <c r="F2" s="3" t="n">
        <f aca="false">D2*E2</f>
        <v>6000</v>
      </c>
    </row>
    <row r="3" customFormat="false" ht="12.8" hidden="false" customHeight="false" outlineLevel="0" collapsed="false">
      <c r="A3" s="2" t="n">
        <v>46024</v>
      </c>
      <c r="B3" s="3" t="s">
        <v>8</v>
      </c>
      <c r="C3" s="3" t="s">
        <v>9</v>
      </c>
      <c r="D3" s="3" t="n">
        <v>10</v>
      </c>
      <c r="E3" s="3" t="n">
        <v>50</v>
      </c>
      <c r="F3" s="3" t="n">
        <f aca="false">D3*E3</f>
        <v>500</v>
      </c>
    </row>
    <row r="4" customFormat="false" ht="12.8" hidden="false" customHeight="false" outlineLevel="0" collapsed="false">
      <c r="A4" s="2" t="n">
        <v>46025</v>
      </c>
      <c r="B4" s="3" t="s">
        <v>6</v>
      </c>
      <c r="C4" s="3" t="s">
        <v>10</v>
      </c>
      <c r="D4" s="3" t="n">
        <v>5</v>
      </c>
      <c r="E4" s="3" t="n">
        <v>150</v>
      </c>
      <c r="F4" s="3" t="n">
        <f aca="false">D4*E4</f>
        <v>750</v>
      </c>
    </row>
    <row r="5" customFormat="false" ht="12.8" hidden="false" customHeight="false" outlineLevel="0" collapsed="false">
      <c r="A5" s="2" t="n">
        <v>46027</v>
      </c>
      <c r="B5" s="3" t="s">
        <v>11</v>
      </c>
      <c r="C5" s="3" t="s">
        <v>12</v>
      </c>
      <c r="D5" s="3" t="n">
        <v>3</v>
      </c>
      <c r="E5" s="3" t="n">
        <v>800</v>
      </c>
      <c r="F5" s="3" t="n">
        <f aca="false">D5*E5</f>
        <v>2400</v>
      </c>
    </row>
    <row r="6" customFormat="false" ht="12.8" hidden="false" customHeight="false" outlineLevel="0" collapsed="false">
      <c r="A6" s="2" t="n">
        <v>46029</v>
      </c>
      <c r="B6" s="3" t="s">
        <v>8</v>
      </c>
      <c r="C6" s="3" t="s">
        <v>7</v>
      </c>
      <c r="D6" s="3" t="n">
        <v>1</v>
      </c>
      <c r="E6" s="3" t="n">
        <v>3000</v>
      </c>
      <c r="F6" s="3" t="n">
        <f aca="false">D6*E6</f>
        <v>3000</v>
      </c>
    </row>
    <row r="7" customFormat="false" ht="12.8" hidden="false" customHeight="false" outlineLevel="0" collapsed="false">
      <c r="A7" s="2" t="n">
        <v>46032</v>
      </c>
      <c r="B7" s="3" t="s">
        <v>6</v>
      </c>
      <c r="C7" s="3" t="s">
        <v>9</v>
      </c>
      <c r="D7" s="3" t="n">
        <v>15</v>
      </c>
      <c r="E7" s="3" t="n">
        <v>50</v>
      </c>
      <c r="F7" s="3" t="n">
        <f aca="false">D7*E7</f>
        <v>750</v>
      </c>
    </row>
    <row r="8" customFormat="false" ht="12.8" hidden="false" customHeight="false" outlineLevel="0" collapsed="false">
      <c r="A8" s="2" t="n">
        <v>46034</v>
      </c>
      <c r="B8" s="3" t="s">
        <v>11</v>
      </c>
      <c r="C8" s="3" t="s">
        <v>10</v>
      </c>
      <c r="D8" s="3" t="n">
        <v>8</v>
      </c>
      <c r="E8" s="3" t="n">
        <v>150</v>
      </c>
      <c r="F8" s="3" t="n">
        <f aca="false">D8*E8</f>
        <v>1200</v>
      </c>
    </row>
    <row r="9" customFormat="false" ht="12.8" hidden="false" customHeight="false" outlineLevel="0" collapsed="false">
      <c r="A9" s="2" t="n">
        <v>46037</v>
      </c>
      <c r="B9" s="3" t="s">
        <v>8</v>
      </c>
      <c r="C9" s="3" t="s">
        <v>12</v>
      </c>
      <c r="D9" s="3" t="n">
        <v>2</v>
      </c>
      <c r="E9" s="3" t="n">
        <v>800</v>
      </c>
      <c r="F9" s="3" t="n">
        <f aca="false">D9*E9</f>
        <v>1600</v>
      </c>
    </row>
    <row r="10" customFormat="false" ht="12.8" hidden="false" customHeight="false" outlineLevel="0" collapsed="false">
      <c r="A10" s="2" t="n">
        <v>46040</v>
      </c>
      <c r="B10" s="3" t="s">
        <v>6</v>
      </c>
      <c r="C10" s="3" t="s">
        <v>7</v>
      </c>
      <c r="D10" s="3" t="n">
        <v>1</v>
      </c>
      <c r="E10" s="3" t="n">
        <v>3000</v>
      </c>
      <c r="F10" s="3" t="n">
        <f aca="false">D10*E10</f>
        <v>3000</v>
      </c>
    </row>
    <row r="11" customFormat="false" ht="12.8" hidden="false" customHeight="false" outlineLevel="0" collapsed="false">
      <c r="A11" s="2" t="n">
        <v>46042</v>
      </c>
      <c r="B11" s="3" t="s">
        <v>11</v>
      </c>
      <c r="C11" s="3" t="s">
        <v>9</v>
      </c>
      <c r="D11" s="3" t="n">
        <v>20</v>
      </c>
      <c r="E11" s="3" t="n">
        <v>50</v>
      </c>
      <c r="F11" s="3" t="n">
        <f aca="false">D11*E11</f>
        <v>1000</v>
      </c>
    </row>
    <row r="12" customFormat="false" ht="12.8" hidden="false" customHeight="false" outlineLevel="0" collapsed="false">
      <c r="A12" s="2" t="n">
        <v>46044</v>
      </c>
      <c r="B12" s="3" t="s">
        <v>8</v>
      </c>
      <c r="C12" s="3" t="s">
        <v>10</v>
      </c>
      <c r="D12" s="3" t="n">
        <v>10</v>
      </c>
      <c r="E12" s="3" t="n">
        <v>150</v>
      </c>
      <c r="F12" s="3" t="n">
        <f aca="false">D12*E12</f>
        <v>1500</v>
      </c>
    </row>
    <row r="13" customFormat="false" ht="12.8" hidden="false" customHeight="false" outlineLevel="0" collapsed="false">
      <c r="A13" s="2" t="n">
        <v>46047</v>
      </c>
      <c r="B13" s="3" t="s">
        <v>6</v>
      </c>
      <c r="C13" s="3" t="s">
        <v>12</v>
      </c>
      <c r="D13" s="3" t="n">
        <v>1</v>
      </c>
      <c r="E13" s="3" t="n">
        <v>800</v>
      </c>
      <c r="F13" s="3" t="n">
        <f aca="false">D13*E13</f>
        <v>800</v>
      </c>
    </row>
    <row r="14" customFormat="false" ht="12.8" hidden="false" customHeight="false" outlineLevel="0" collapsed="false">
      <c r="A14" s="2" t="n">
        <v>46050</v>
      </c>
      <c r="B14" s="3" t="s">
        <v>11</v>
      </c>
      <c r="C14" s="3" t="s">
        <v>7</v>
      </c>
      <c r="D14" s="3" t="n">
        <v>3</v>
      </c>
      <c r="E14" s="3" t="n">
        <v>3000</v>
      </c>
      <c r="F14" s="3" t="n">
        <f aca="false">D14*E14</f>
        <v>9000</v>
      </c>
    </row>
    <row r="15" customFormat="false" ht="12.8" hidden="false" customHeight="false" outlineLevel="0" collapsed="false">
      <c r="A15" s="2" t="n">
        <v>46052</v>
      </c>
      <c r="B15" s="3" t="s">
        <v>8</v>
      </c>
      <c r="C15" s="3" t="s">
        <v>7</v>
      </c>
      <c r="D15" s="3" t="n">
        <v>2</v>
      </c>
      <c r="E15" s="3" t="n">
        <v>3000</v>
      </c>
      <c r="F15" s="3" t="n">
        <f aca="false">D15*E15</f>
        <v>6000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1" sqref="A16:A23 B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7.73"/>
  </cols>
  <sheetData>
    <row r="1" customFormat="false" ht="12.8" hidden="false" customHeight="false" outlineLevel="0" collapsed="false">
      <c r="A1" s="4" t="s">
        <v>13</v>
      </c>
    </row>
    <row r="3" customFormat="false" ht="12.8" hidden="false" customHeight="false" outlineLevel="0" collapsed="false">
      <c r="A3" s="4" t="s">
        <v>14</v>
      </c>
    </row>
    <row r="5" customFormat="false" ht="12.8" hidden="false" customHeight="false" outlineLevel="0" collapsed="false">
      <c r="A5" s="5" t="s">
        <v>15</v>
      </c>
      <c r="B5" s="6" t="n">
        <f aca="false">SUM(Dados!F:F)</f>
        <v>37500</v>
      </c>
    </row>
    <row r="6" customFormat="false" ht="12.8" hidden="false" customHeight="false" outlineLevel="0" collapsed="false">
      <c r="A6" s="5" t="s">
        <v>16</v>
      </c>
      <c r="B6" s="6" t="n">
        <f aca="false">SUM(Dados!D:D)</f>
        <v>83</v>
      </c>
    </row>
    <row r="7" customFormat="false" ht="12.8" hidden="false" customHeight="false" outlineLevel="0" collapsed="false">
      <c r="A7" s="5" t="s">
        <v>17</v>
      </c>
      <c r="B7" s="6" t="n">
        <f aca="false">MAX(Dados!F:F)</f>
        <v>9000</v>
      </c>
    </row>
    <row r="8" customFormat="false" ht="12.8" hidden="false" customHeight="false" outlineLevel="0" collapsed="false">
      <c r="A8" s="5" t="s">
        <v>18</v>
      </c>
      <c r="B8" s="7" t="n">
        <f aca="false">COUNT(Dados!A:A)</f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2026-02-15T22:24:02Z</dcterms:created>
  <dc:creator/>
  <dc:description/>
  <dc:language>pt-BR</dc:language>
  <cp:lastModifiedBy/>
  <dcterms:modified xsi:type="dcterms:W3CDTF">2026-02-15T22:48:50Z</dcterms:modified>
  <cp:revision>1</cp:revision>
  <dc:subject/>
  <dc:title/>
</cp:coreProperties>
</file>